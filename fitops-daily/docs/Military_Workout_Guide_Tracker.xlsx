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d0a226c9f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353a351c75240f6"/>
    <x:sheet xmlns:r="http://schemas.openxmlformats.org/officeDocument/2006/relationships" name="Workout Plan" sheetId="2" r:id="Rca625dae022e4812"/>
    <x:sheet xmlns:r="http://schemas.openxmlformats.org/officeDocument/2006/relationships" name="Exercise Guide" sheetId="3" r:id="R42b7bc93af754af0"/>
    <x:sheet xmlns:r="http://schemas.openxmlformats.org/officeDocument/2006/relationships" name="Visual Examples" sheetId="4" r:id="R9822a2d6e60f4f92"/>
    <x:sheet xmlns:r="http://schemas.openxmlformats.org/officeDocument/2006/relationships" name="Weekly Tracker" sheetId="5" r:id="Rfcdd779edf2440b0"/>
    <x:sheet xmlns:r="http://schemas.openxmlformats.org/officeDocument/2006/relationships" name="Poster Decoder" sheetId="6" r:id="Rd1450f08e900498e"/>
    <x:sheet xmlns:r="http://schemas.openxmlformats.org/officeDocument/2006/relationships" name="Source Notes" sheetId="7" r:id="Rabc9c5605cd6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0"/>
    <x:numFmt numFmtId="203" formatCode="0.0"/>
    <x:numFmt numFmtId="204" formatCode="@"/>
  </x:numFmts>
  <x:fonts count="8">
    <x:font>
      <x:sz val="11"/>
      <x:name val="Carlito"/>
    </x:font>
    <x:font>
      <x:sz val="10"/>
      <x:color rgb="FF1F241C"/>
      <x:name val="Aptos"/>
    </x:font>
    <x:font>
      <x:b/>
      <x:sz val="22"/>
      <x:color rgb="FFFFFFFF"/>
      <x:name val="Aptos Display"/>
    </x:font>
    <x:font>
      <x:i/>
      <x:sz val="10"/>
      <x:color rgb="FFFFFFFF"/>
      <x:name val="Aptos"/>
    </x:font>
    <x:font>
      <x:b/>
      <x:sz val="12"/>
      <x:color rgb="FFFFFFFF"/>
      <x:name val="Aptos"/>
    </x:font>
    <x:font>
      <x:b/>
      <x:sz val="10"/>
      <x:color rgb="FF1F241C"/>
      <x:name val="Aptos"/>
    </x:font>
    <x:font>
      <x:b/>
      <x:sz val="10"/>
      <x:color rgb="FFFFFFFF"/>
      <x:name val="Aptos"/>
    </x:font>
    <x:font>
      <x:b/>
      <x:sz val="12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7412F"/>
      </x:patternFill>
    </x:fill>
    <x:fill>
      <x:patternFill patternType="solid">
        <x:fgColor rgb="FF566246"/>
      </x:patternFill>
    </x:fill>
    <x:fill>
      <x:patternFill patternType="solid">
        <x:fgColor rgb="FF34495E"/>
      </x:patternFill>
    </x:fill>
    <x:fill>
      <x:patternFill patternType="solid">
        <x:fgColor rgb="FFF8F6F0"/>
      </x:patternFill>
    </x:fill>
    <x:fill>
      <x:patternFill patternType="solid">
        <x:fgColor rgb="FFECE2CF"/>
      </x:patternFill>
    </x:fill>
    <x:fill>
      <x:patternFill patternType="solid">
        <x:fgColor rgb="FFB35A3C"/>
      </x:patternFill>
    </x:fill>
    <x:fill>
      <x:patternFill patternType="solid">
        <x:fgColor rgb="FFDCE7F2"/>
      </x:patternFill>
    </x:fill>
    <x:fill>
      <x:patternFill patternType="solid">
        <x:fgColor rgb="FFDDEAD6"/>
      </x:patternFill>
    </x:fill>
    <x:fill>
      <x:patternFill patternType="solid">
        <x:fgColor rgb="FFFFF0B8"/>
      </x:patternFill>
    </x:fill>
  </x:fills>
  <x:borders count="12">
    <x:border/>
    <x:border>
      <x:left style="thin">
        <x:color rgb="FFCFCFCF"/>
      </x:left>
      <x:top style="thin">
        <x:color rgb="FFCFCFCF"/>
      </x:top>
    </x:border>
    <x:border>
      <x:top style="thin">
        <x:color rgb="FFCFCFCF"/>
      </x:top>
    </x:border>
    <x:border>
      <x:right style="thin">
        <x:color rgb="FFCFCFCF"/>
      </x:right>
      <x:top style="thin">
        <x:color rgb="FFCFCFCF"/>
      </x:top>
    </x:border>
    <x:border>
      <x:left style="thin">
        <x:color rgb="FFCFCFCF"/>
      </x:left>
    </x:border>
    <x:border>
      <x:right style="thin">
        <x:color rgb="FFCFCFCF"/>
      </x:right>
    </x:border>
    <x:border>
      <x:left style="thin">
        <x:color rgb="FFCFCFCF"/>
      </x:left>
      <x:bottom style="thin">
        <x:color rgb="FFCFCFCF"/>
      </x:bottom>
    </x:border>
    <x:border>
      <x:bottom style="thin">
        <x:color rgb="FFCFCFCF"/>
      </x:bottom>
    </x:border>
    <x:border>
      <x:right style="thin">
        <x:color rgb="FFCFCFCF"/>
      </x:right>
      <x:bottom style="thin">
        <x:color rgb="FFCFCFCF"/>
      </x:bottom>
    </x:border>
    <x:border>
      <x:left style="thin">
        <x:color rgb="FF37412F"/>
      </x:left>
      <x:top style="thin">
        <x:color rgb="FF37412F"/>
      </x:top>
      <x:bottom style="thin">
        <x:color rgb="FF37412F"/>
      </x:bottom>
    </x:border>
    <x:border>
      <x:top style="thin">
        <x:color rgb="FF37412F"/>
      </x:top>
      <x:bottom style="thin">
        <x:color rgb="FF37412F"/>
      </x:bottom>
    </x:border>
    <x:border>
      <x:right style="thin">
        <x:color rgb="FF37412F"/>
      </x:right>
      <x:top style="thin">
        <x:color rgb="FF37412F"/>
      </x:top>
      <x:bottom style="thin">
        <x:color rgb="FF37412F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wrapText="1"/>
    </x:xf>
    <x:xf numFmtId="0" fontId="1" fillId="6" borderId="6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200" fontId="1" fillId="5" borderId="2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201" fontId="1" fillId="5" borderId="0" xfId="0" applyNumberFormat="1" applyFont="1" applyFill="1" applyBorder="1" applyAlignment="1">
      <x:alignment wrapText="1"/>
    </x:xf>
    <x:xf numFmtId="202" fontId="1" fillId="5" borderId="2" xfId="0" applyNumberFormat="1" applyFont="1" applyFill="1" applyBorder="1" applyAlignment="1">
      <x:alignment wrapText="1"/>
    </x:xf>
    <x:xf numFmtId="202" fontId="1" fillId="5" borderId="0" xfId="0" applyNumberFormat="1" applyFont="1" applyFill="1" applyBorder="1" applyAlignment="1">
      <x:alignment wrapText="1"/>
    </x:xf>
    <x:xf numFmtId="203" fontId="1" fillId="5" borderId="0" xfId="0" applyNumberFormat="1" applyFont="1" applyFill="1" applyBorder="1" applyAlignment="1">
      <x:alignment wrapText="1"/>
    </x:xf>
    <x:xf numFmtId="202" fontId="1" fillId="5" borderId="7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wrapText="1"/>
    </x:xf>
    <x:xf numFmtId="0" fontId="1" fillId="10" borderId="4" xfId="0" applyNumberFormat="1" applyFont="1" applyFill="1" applyBorder="1" applyAlignment="1">
      <x:alignment wrapText="1"/>
    </x:xf>
    <x:xf numFmtId="0" fontId="1" fillId="8" borderId="4" xfId="0" applyNumberFormat="1" applyFont="1" applyFill="1" applyBorder="1" applyAlignment="1">
      <x:alignment wrapText="1"/>
    </x:xf>
    <x:xf numFmtId="0" fontId="1" fillId="8" borderId="6" xfId="0" applyNumberFormat="1" applyFont="1" applyFill="1" applyBorder="1" applyAlignment="1">
      <x:alignment wrapText="1"/>
    </x:xf>
    <x:xf numFmtId="204" fontId="1" fillId="5" borderId="2" xfId="0" applyNumberFormat="1" applyFont="1" applyFill="1" applyBorder="1" applyAlignment="1">
      <x:alignment wrapText="1"/>
    </x:xf>
    <x:xf numFmtId="204" fontId="1" fillId="5" borderId="0" xfId="0" applyNumberFormat="1" applyFont="1" applyFill="1" applyBorder="1" applyAlignment="1">
      <x:alignment wrapText="1"/>
    </x:xf>
    <x:xf numFmtId="204" fontId="1" fillId="5" borderId="7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9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wrapText="1"/>
    </x:xf>
    <x:xf numFmtId="200" fontId="1" fillId="5" borderId="7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244C2A"/>
      </x:font>
      <x:fill>
        <x:patternFill patternType="solid">
          <x:bgColor rgb="FFDDEAD6"/>
        </x:patternFill>
      </x:fill>
    </x:dxf>
    <x:dxf>
      <x:font>
        <x:b/>
        <x:color rgb="FF6D5200"/>
      </x:font>
      <x:fill>
        <x:patternFill patternType="solid">
          <x:bgColor rgb="FFFFF0B8"/>
        </x:patternFill>
      </x:fill>
    </x:dxf>
    <x:dxf>
      <x:font>
        <x:b/>
        <x:color rgb="FF803322"/>
      </x:font>
      <x:fill>
        <x:patternFill patternType="solid">
          <x:bgColor rgb="FFF2D6D0"/>
        </x:patternFill>
      </x:fill>
    </x:dxf>
    <x:dxf>
      <x:font>
        <x:b/>
        <x:color rgb="FF244C2A"/>
      </x:font>
      <x:fill>
        <x:patternFill patternType="solid">
          <x:bgColor rgb="FFDDEAD6"/>
        </x:patternFill>
      </x:fill>
    </x:dxf>
    <x:dxf>
      <x:font>
        <x:b/>
        <x:color rgb="FF6D5200"/>
      </x:font>
      <x:fill>
        <x:patternFill patternType="solid">
          <x:bgColor rgb="FFFFF0B8"/>
        </x:patternFill>
      </x:fill>
    </x:dxf>
    <x:dxf>
      <x:font>
        <x:b/>
        <x:color rgb="FF803322"/>
      </x:font>
      <x:fill>
        <x:patternFill patternType="solid">
          <x:bgColor rgb="FFF2D6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78d8613a94127" /><Relationship Type="http://schemas.openxmlformats.org/officeDocument/2006/relationships/theme" Target="/xl/theme/theme1.xml" Id="Rfdabbe8f86534bab" /><Relationship Type="http://schemas.openxmlformats.org/officeDocument/2006/relationships/sharedStrings" Target="/xl/sharedStrings.xml" Id="Rb51838e75c9c4ae1" /><Relationship Type="http://schemas.openxmlformats.org/officeDocument/2006/relationships/worksheet" Target="/xl/worksheets/sheet1.xml" Id="Rf353a351c75240f6" /><Relationship Type="http://schemas.openxmlformats.org/officeDocument/2006/relationships/worksheet" Target="/xl/worksheets/sheet2.xml" Id="Rca625dae022e4812" /><Relationship Type="http://schemas.openxmlformats.org/officeDocument/2006/relationships/worksheet" Target="/xl/worksheets/sheet3.xml" Id="R42b7bc93af754af0" /><Relationship Type="http://schemas.openxmlformats.org/officeDocument/2006/relationships/worksheet" Target="/xl/worksheets/sheet4.xml" Id="R9822a2d6e60f4f92" /><Relationship Type="http://schemas.openxmlformats.org/officeDocument/2006/relationships/worksheet" Target="/xl/worksheets/sheet5.xml" Id="Rfcdd779edf2440b0" /><Relationship Type="http://schemas.openxmlformats.org/officeDocument/2006/relationships/worksheet" Target="/xl/worksheets/sheet6.xml" Id="Rd1450f08e900498e" /><Relationship Type="http://schemas.openxmlformats.org/officeDocument/2006/relationships/worksheet" Target="/xl/worksheets/sheet7.xml" Id="Rabc9c5605cd642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f44e8ee5fef444d" /><Relationship Type="http://schemas.openxmlformats.org/officeDocument/2006/relationships/image" Target="/xl/media/image2.png" Id="R0f5aea0afbd1471e" /><Relationship Type="http://schemas.openxmlformats.org/officeDocument/2006/relationships/image" Target="/xl/media/image3.png" Id="Rdde509a2ce284f37" /><Relationship Type="http://schemas.openxmlformats.org/officeDocument/2006/relationships/image" Target="/xl/media/image4.png" Id="Re716a1847a4d4569" /><Relationship Type="http://schemas.openxmlformats.org/officeDocument/2006/relationships/image" Target="/xl/media/image5.png" Id="R21ea27e731fc4941" /><Relationship Type="http://schemas.openxmlformats.org/officeDocument/2006/relationships/image" Target="/xl/media/image6.png" Id="R6824a5957ae441b2" /><Relationship Type="http://schemas.openxmlformats.org/officeDocument/2006/relationships/image" Target="/xl/media/image7.png" Id="Redacd7483d664a04" /><Relationship Type="http://schemas.openxmlformats.org/officeDocument/2006/relationships/image" Target="/xl/media/image8.png" Id="R1a6c30b1f13b4e98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4</xdr:row>
      <xdr:rowOff>76200</xdr:rowOff>
    </xdr:from>
    <xdr:ext cx="4762500" cy="2447925"/>
    <xdr:pic>
      <xdr:nvPicPr>
        <xdr:cNvPr id="1" name="9baf4f68-ffab-42cd-98b5-e9d5df958a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44e8ee5fef44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4</xdr:row>
      <xdr:rowOff>76200</xdr:rowOff>
    </xdr:from>
    <xdr:ext cx="4762500" cy="2447925"/>
    <xdr:pic>
      <xdr:nvPicPr>
        <xdr:cNvPr id="2" name="10b50de0-1db3-484e-aab5-ca8becf054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5aea0afbd147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</xdr:row>
      <xdr:rowOff>76200</xdr:rowOff>
    </xdr:from>
    <xdr:ext cx="4762500" cy="2447925"/>
    <xdr:pic>
      <xdr:nvPicPr>
        <xdr:cNvPr id="3" name="04cccc56-fc9e-4d4e-82dd-60e0c45c4b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e509a2ce284f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20</xdr:row>
      <xdr:rowOff>76200</xdr:rowOff>
    </xdr:from>
    <xdr:ext cx="4762500" cy="2447925"/>
    <xdr:pic>
      <xdr:nvPicPr>
        <xdr:cNvPr id="4" name="2f0d7581-0548-4a01-8e4c-bd97687b81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16a1847a4d45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36</xdr:row>
      <xdr:rowOff>76200</xdr:rowOff>
    </xdr:from>
    <xdr:ext cx="4762500" cy="2447925"/>
    <xdr:pic>
      <xdr:nvPicPr>
        <xdr:cNvPr id="5" name="b7ec29f8-8cc5-4bbc-8f18-ac5aba1694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ea27e731fc49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36</xdr:row>
      <xdr:rowOff>76200</xdr:rowOff>
    </xdr:from>
    <xdr:ext cx="4762500" cy="2447925"/>
    <xdr:pic>
      <xdr:nvPicPr>
        <xdr:cNvPr id="6" name="db2dab00-ff18-40bc-b7f9-73610b153c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24a5957ae441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52</xdr:row>
      <xdr:rowOff>76200</xdr:rowOff>
    </xdr:from>
    <xdr:ext cx="4762500" cy="2447925"/>
    <xdr:pic>
      <xdr:nvPicPr>
        <xdr:cNvPr id="7" name="4aba80e4-5933-41e3-843f-64b1a79118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acd7483d664a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76200</xdr:colOff>
      <xdr:row>52</xdr:row>
      <xdr:rowOff>76200</xdr:rowOff>
    </xdr:from>
    <xdr:ext cx="4762500" cy="2447925"/>
    <xdr:pic>
      <xdr:nvPicPr>
        <xdr:cNvPr id="8" name="d6f5e616-91d1-4acf-8c8d-bdfca7365d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6c30b1f13b4e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2e139229efb40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18" hidden="0" customWidth="1"/>
    <x:col min="4" max="4" width="18" hidden="0" customWidth="1"/>
    <x:col min="5" max="5" width="4" hidden="0" customWidth="1"/>
    <x:col min="6" max="6" width="22" hidden="0" customWidth="1"/>
    <x:col min="7" max="7" width="18" hidden="0" customWidth="1"/>
    <x:col min="8" max="8" width="20" hidden="0" customWidth="1"/>
  </x:cols>
  <x:sheetData>
    <x:row r="1" ht="36" customHeight="1">
      <x:c r="A1" s="4" t="str">
        <x:v>3-Day Military-Style Bodyweight Program</x:v>
      </x:c>
      <x:c r="B1" s="4" t="str">
        <x:v>3-Day Military-Style Bodyweight Program</x:v>
      </x:c>
      <x:c r="C1" s="4" t="str">
        <x:v>3-Day Military-Style Bodyweight Program</x:v>
      </x:c>
      <x:c r="D1" s="4" t="str">
        <x:v>3-Day Military-Style Bodyweight Program</x:v>
      </x:c>
      <x:c r="E1" s="4" t="str">
        <x:v>3-Day Military-Style Bodyweight Program</x:v>
      </x:c>
      <x:c r="F1" s="4" t="str">
        <x:v>3-Day Military-Style Bodyweight Program</x:v>
      </x:c>
      <x:c r="G1" s="4" t="str">
        <x:v>3-Day Military-Style Bodyweight Program</x:v>
      </x:c>
      <x:c r="H1" s="4" t="str">
        <x:v>3-Day Military-Style Bodyweight Program</x:v>
      </x:c>
      <x:c r="I1" s="1"/>
      <x:c r="J1" s="1"/>
      <x:c r="K1" s="1"/>
    </x:row>
    <x:row r="2" ht="30" customHeight="1">
      <x:c r="A2" s="7" t="str">
        <x:v>A practical translation of the attached poster, with simple instructions and a 4-week accountability tracker.</x:v>
      </x:c>
      <x:c r="B2" s="7" t="str">
        <x:v>A practical translation of the attached poster, with simple instructions and a 4-week accountability tracker.</x:v>
      </x:c>
      <x:c r="C2" s="7" t="str">
        <x:v>A practical translation of the attached poster, with simple instructions and a 4-week accountability tracker.</x:v>
      </x:c>
      <x:c r="D2" s="7" t="str">
        <x:v>A practical translation of the attached poster, with simple instructions and a 4-week accountability tracker.</x:v>
      </x:c>
      <x:c r="E2" s="7" t="str">
        <x:v>A practical translation of the attached poster, with simple instructions and a 4-week accountability tracker.</x:v>
      </x:c>
      <x:c r="F2" s="7" t="str">
        <x:v>A practical translation of the attached poster, with simple instructions and a 4-week accountability tracker.</x:v>
      </x:c>
      <x:c r="G2" s="7" t="str">
        <x:v>A practical translation of the attached poster, with simple instructions and a 4-week accountability tracker.</x:v>
      </x:c>
      <x:c r="H2" s="7" t="str">
        <x:v>A practical translation of the attached poster, with simple instructions and a 4-week accountability tracker.</x:v>
      </x:c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0" t="str">
        <x:v>Starter Settings</x:v>
      </x:c>
      <x:c r="B4" s="10" t="str">
        <x:v>Starter Settings</x:v>
      </x:c>
      <x:c r="C4" s="10" t="str">
        <x:v>Starter Settings</x:v>
      </x:c>
      <x:c r="D4" s="10" t="str">
        <x:v>Starter Settings</x:v>
      </x:c>
      <x:c r="E4" s="1"/>
      <x:c r="F4" s="38" t="str">
        <x:v>Accountability Snapshot</x:v>
      </x:c>
      <x:c r="G4" s="38" t="str">
        <x:v>Accountability Snapshot</x:v>
      </x:c>
      <x:c r="H4" s="38" t="str">
        <x:v>Accountability Snapshot</x:v>
      </x:c>
      <x:c r="I4" s="1"/>
      <x:c r="J4" s="1"/>
      <x:c r="K4" s="1"/>
    </x:row>
    <x:row r="5">
      <x:c r="A5" s="32" t="str">
        <x:v>Suggested start week</x:v>
      </x:c>
      <x:c r="B5" s="35" t="n">
        <x:v>46223</x:v>
      </x:c>
      <x:c r="C5" s="21"/>
      <x:c r="D5" s="22"/>
      <x:c r="E5" s="1"/>
      <x:c r="F5" s="32" t="str">
        <x:v>Planned sessions</x:v>
      </x:c>
      <x:c r="G5" s="40" t="n">
        <x:f>COUNTA('Weekly Tracker'!$A$5:$A$16)</x:f>
        <x:v>12</x:v>
      </x:c>
      <x:c r="H5" s="22"/>
      <x:c r="I5" s="1"/>
      <x:c r="J5" s="1"/>
      <x:c r="K5" s="1"/>
    </x:row>
    <x:row r="6">
      <x:c r="A6" s="33" t="str">
        <x:v>Workouts per week</x:v>
      </x:c>
      <x:c r="B6" s="24" t="n">
        <x:v>3</x:v>
      </x:c>
      <x:c r="C6" s="24"/>
      <x:c r="D6" s="25"/>
      <x:c r="E6" s="1"/>
      <x:c r="F6" s="33" t="str">
        <x:v>Done</x:v>
      </x:c>
      <x:c r="G6" s="41" t="n">
        <x:f>COUNTIF('Weekly Tracker'!$G$5:$G$16,"Done")</x:f>
        <x:v>0</x:v>
      </x:c>
      <x:c r="H6" s="25"/>
      <x:c r="I6" s="1"/>
      <x:c r="J6" s="1"/>
      <x:c r="K6" s="1"/>
    </x:row>
    <x:row r="7">
      <x:c r="A7" s="33" t="str">
        <x:v>Rounds to start</x:v>
      </x:c>
      <x:c r="B7" s="24" t="n">
        <x:v>1</x:v>
      </x:c>
      <x:c r="C7" s="24"/>
      <x:c r="D7" s="25"/>
      <x:c r="E7" s="1"/>
      <x:c r="F7" s="33" t="str">
        <x:v>Partial</x:v>
      </x:c>
      <x:c r="G7" s="41" t="n">
        <x:f>COUNTIF('Weekly Tracker'!$G$5:$G$16,"Partial")</x:f>
        <x:v>0</x:v>
      </x:c>
      <x:c r="H7" s="25"/>
      <x:c r="I7" s="1"/>
      <x:c r="J7" s="1"/>
      <x:c r="K7" s="1"/>
    </x:row>
    <x:row r="8">
      <x:c r="A8" s="33" t="str">
        <x:v>Rest between moves</x:v>
      </x:c>
      <x:c r="B8" s="24" t="str">
        <x:v>30 to 60 seconds</x:v>
      </x:c>
      <x:c r="C8" s="24"/>
      <x:c r="D8" s="25"/>
      <x:c r="E8" s="1"/>
      <x:c r="F8" s="33" t="str">
        <x:v>Completion score</x:v>
      </x:c>
      <x:c r="G8" s="39" t="n">
        <x:f>IFERROR(($G$6+0.5*$G$7)/$G$5,0)</x:f>
        <x:v>0</x:v>
      </x:c>
      <x:c r="H8" s="25"/>
      <x:c r="I8" s="1"/>
      <x:c r="J8" s="1"/>
      <x:c r="K8" s="1"/>
    </x:row>
    <x:row r="9">
      <x:c r="A9" s="33" t="str">
        <x:v>Effort target</x:v>
      </x:c>
      <x:c r="B9" s="24" t="str">
        <x:v>6 to 8 out of 10</x:v>
      </x:c>
      <x:c r="C9" s="24"/>
      <x:c r="D9" s="25"/>
      <x:c r="E9" s="1"/>
      <x:c r="F9" s="33" t="str">
        <x:v>Average effort</x:v>
      </x:c>
      <x:c r="G9" s="42" t="str">
        <x:f>IFERROR(AVERAGE('Weekly Tracker'!$H$5:$H$16),"")</x:f>
      </x:c>
      <x:c r="H9" s="25"/>
      <x:c r="I9" s="1"/>
      <x:c r="J9" s="1"/>
      <x:c r="K9" s="1"/>
    </x:row>
    <x:row r="10">
      <x:c r="A10" s="34" t="str">
        <x:v>Progress rule</x:v>
      </x:c>
      <x:c r="B10" s="27" t="str">
        <x:v>Add a second round only when form feels controlled.</x:v>
      </x:c>
      <x:c r="C10" s="27"/>
      <x:c r="D10" s="28"/>
      <x:c r="E10" s="1"/>
      <x:c r="F10" s="34" t="str">
        <x:v>Total minutes</x:v>
      </x:c>
      <x:c r="G10" s="43" t="n">
        <x:f>SUM('Weekly Tracker'!$I$5:$I$16)</x:f>
        <x:v>0</x:v>
      </x:c>
      <x:c r="H10" s="28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4" customHeight="1">
      <x:c r="A12" s="45" t="str">
        <x:v>How To Use This</x:v>
      </x:c>
      <x:c r="B12" s="45" t="str">
        <x:v>How To Use This</x:v>
      </x:c>
      <x:c r="C12" s="45" t="str">
        <x:v>How To Use This</x:v>
      </x:c>
      <x:c r="D12" s="45" t="str">
        <x:v>How To Use This</x:v>
      </x:c>
      <x:c r="E12" s="45" t="str">
        <x:v>How To Use This</x:v>
      </x:c>
      <x:c r="F12" s="45" t="str">
        <x:v>How To Use This</x:v>
      </x:c>
      <x:c r="G12" s="45" t="str">
        <x:v>How To Use This</x:v>
      </x:c>
      <x:c r="H12" s="45" t="str">
        <x:v>How To Use This</x:v>
      </x:c>
      <x:c r="I12" s="1"/>
      <x:c r="J12" s="1"/>
      <x:c r="K12" s="1"/>
    </x:row>
    <x:row r="13" ht="42" customHeight="1">
      <x:c r="A13" s="50" t="str">
        <x:v>1. Warm up first</x:v>
      </x:c>
      <x:c r="B13" s="21" t="str">
        <x:v>March, walk, or cycle lightly for 5 minutes. Add arm circles, hip hinges, and easy squats.</x:v>
      </x:c>
      <x:c r="C13" s="21"/>
      <x:c r="D13" s="21"/>
      <x:c r="E13" s="21"/>
      <x:c r="F13" s="21"/>
      <x:c r="G13" s="21"/>
      <x:c r="H13" s="22"/>
      <x:c r="I13" s="1"/>
      <x:c r="J13" s="1"/>
      <x:c r="K13" s="1"/>
    </x:row>
    <x:row r="14" ht="42" customHeight="1">
      <x:c r="A14" s="51" t="str">
        <x:v>2. Start with one round</x:v>
      </x:c>
      <x:c r="B14" s="24" t="str">
        <x:v>Do the listed reps once. Rest 30 to 60 seconds between moves. Stop before form falls apart.</x:v>
      </x:c>
      <x:c r="C14" s="24"/>
      <x:c r="D14" s="24"/>
      <x:c r="E14" s="24"/>
      <x:c r="F14" s="24"/>
      <x:c r="G14" s="24"/>
      <x:c r="H14" s="25"/>
      <x:c r="I14" s="1"/>
      <x:c r="J14" s="1"/>
      <x:c r="K14" s="1"/>
    </x:row>
    <x:row r="15" ht="42" customHeight="1">
      <x:c r="A15" s="51" t="str">
        <x:v>3. Use visuals and easier options</x:v>
      </x:c>
      <x:c r="B15" s="24" t="str">
        <x:v>Check the Visual Examples tab first. Incline push-ups, step-back burpees, and shorter plank holds still count.</x:v>
      </x:c>
      <x:c r="C15" s="24"/>
      <x:c r="D15" s="24"/>
      <x:c r="E15" s="24"/>
      <x:c r="F15" s="24"/>
      <x:c r="G15" s="24"/>
      <x:c r="H15" s="25"/>
      <x:c r="I15" s="1"/>
      <x:c r="J15" s="1"/>
      <x:c r="K15" s="1"/>
    </x:row>
    <x:row r="16" ht="42" customHeight="1">
      <x:c r="A16" s="51" t="str">
        <x:v>4. Track every session</x:v>
      </x:c>
      <x:c r="B16" s="24" t="str">
        <x:v>Use the Weekly Tracker tab. Mark Done, Partial, or Skipped, then write one short note.</x:v>
      </x:c>
      <x:c r="C16" s="24"/>
      <x:c r="D16" s="24"/>
      <x:c r="E16" s="24"/>
      <x:c r="F16" s="24"/>
      <x:c r="G16" s="24"/>
      <x:c r="H16" s="25"/>
      <x:c r="I16" s="1"/>
      <x:c r="J16" s="1"/>
      <x:c r="K16" s="1"/>
    </x:row>
    <x:row r="17" ht="42" customHeight="1">
      <x:c r="A17" s="51" t="str">
        <x:v>5. Progress slowly</x:v>
      </x:c>
      <x:c r="B17" s="24" t="str">
        <x:v>When all 3 weekly sessions feel like effort 6 to 7 out of 10, add one more round or 2 to 5 reps to a few moves.</x:v>
      </x:c>
      <x:c r="C17" s="24"/>
      <x:c r="D17" s="24"/>
      <x:c r="E17" s="24"/>
      <x:c r="F17" s="24"/>
      <x:c r="G17" s="24"/>
      <x:c r="H17" s="25"/>
      <x:c r="I17" s="1"/>
      <x:c r="J17" s="1"/>
      <x:c r="K17" s="1"/>
    </x:row>
    <x:row r="18" ht="42" customHeight="1">
      <x:c r="A18" s="52" t="str">
        <x:v>6. Safety rule</x:v>
      </x:c>
      <x:c r="B18" s="27" t="str">
        <x:v>Stop for sharp pain, chest pain, unusual shortness of breath, dizziness, or anything that feels wrong.</x:v>
      </x:c>
      <x:c r="C18" s="27"/>
      <x:c r="D18" s="27"/>
      <x:c r="E18" s="27"/>
      <x:c r="F18" s="27"/>
      <x:c r="G18" s="27"/>
      <x:c r="H18" s="28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4" customHeight="1">
      <x:c r="A20" s="10" t="str">
        <x:v>Accountability Agreement</x:v>
      </x:c>
      <x:c r="B20" s="10" t="str">
        <x:v>Accountability Agreement</x:v>
      </x:c>
      <x:c r="C20" s="10" t="str">
        <x:v>Accountability Agreement</x:v>
      </x:c>
      <x:c r="D20" s="10" t="str">
        <x:v>Accountability Agreement</x:v>
      </x:c>
      <x:c r="E20" s="10" t="str">
        <x:v>Accountability Agreement</x:v>
      </x:c>
      <x:c r="F20" s="10" t="str">
        <x:v>Accountability Agreement</x:v>
      </x:c>
      <x:c r="G20" s="10" t="str">
        <x:v>Accountability Agreement</x:v>
      </x:c>
      <x:c r="H20" s="10" t="str">
        <x:v>Accountability Agreement</x:v>
      </x:c>
      <x:c r="I20" s="1"/>
      <x:c r="J20" s="1"/>
      <x:c r="K20" s="1"/>
    </x:row>
    <x:row r="21" ht="38" customHeight="1">
      <x:c r="A21" s="50" t="str">
        <x:v>My workout cue</x:v>
      </x:c>
      <x:c r="B21" s="21" t="str">
        <x:v>Example: after breakfast, after work, or before showering.</x:v>
      </x:c>
      <x:c r="C21" s="21"/>
      <x:c r="D21" s="21"/>
      <x:c r="E21" s="21"/>
      <x:c r="F21" s="21"/>
      <x:c r="G21" s="21"/>
      <x:c r="H21" s="22"/>
      <x:c r="I21" s="1"/>
      <x:c r="J21" s="1"/>
      <x:c r="K21" s="1"/>
    </x:row>
    <x:row r="22" ht="38" customHeight="1">
      <x:c r="A22" s="51" t="str">
        <x:v>Minimum version</x:v>
      </x:c>
      <x:c r="B22" s="24" t="str">
        <x:v>10 minutes and one round. A partial workout is still momentum.</x:v>
      </x:c>
      <x:c r="C22" s="24"/>
      <x:c r="D22" s="24"/>
      <x:c r="E22" s="24"/>
      <x:c r="F22" s="24"/>
      <x:c r="G22" s="24"/>
      <x:c r="H22" s="25"/>
      <x:c r="I22" s="1"/>
      <x:c r="J22" s="1"/>
      <x:c r="K22" s="1"/>
    </x:row>
    <x:row r="23" ht="38" customHeight="1">
      <x:c r="A23" s="51" t="str">
        <x:v>Missed-day rule</x:v>
      </x:c>
      <x:c r="B23" s="24" t="str">
        <x:v>Move it to the next available day. Do not double up to punish yourself.</x:v>
      </x:c>
      <x:c r="C23" s="24"/>
      <x:c r="D23" s="24"/>
      <x:c r="E23" s="24"/>
      <x:c r="F23" s="24"/>
      <x:c r="G23" s="24"/>
      <x:c r="H23" s="25"/>
      <x:c r="I23" s="1"/>
      <x:c r="J23" s="1"/>
      <x:c r="K23" s="1"/>
    </x:row>
    <x:row r="24" ht="38" customHeight="1">
      <x:c r="A24" s="51" t="str">
        <x:v>Reward</x:v>
      </x:c>
      <x:c r="B24" s="24" t="str">
        <x:v>Check it off, write one win, and let the visible streak do some of the work.</x:v>
      </x:c>
      <x:c r="C24" s="24"/>
      <x:c r="D24" s="24"/>
      <x:c r="E24" s="24"/>
      <x:c r="F24" s="24"/>
      <x:c r="G24" s="24"/>
      <x:c r="H24" s="25"/>
      <x:c r="I24" s="1"/>
      <x:c r="J24" s="1"/>
      <x:c r="K24" s="1"/>
    </x:row>
    <x:row r="25" ht="38" customHeight="1">
      <x:c r="A25" s="52" t="str">
        <x:v>Important note</x:v>
      </x:c>
      <x:c r="B25" s="27" t="str">
        <x:v>This is general fitness guidance, not medical advice. Adjust for injuries or conditions.</x:v>
      </x:c>
      <x:c r="C25" s="27"/>
      <x:c r="D25" s="27"/>
      <x:c r="E25" s="27"/>
      <x:c r="F25" s="27"/>
      <x:c r="G25" s="27"/>
      <x:c r="H25" s="28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H1"/>
    <x:mergeCell ref="A2:H2"/>
    <x:mergeCell ref="A4:D4"/>
    <x:mergeCell ref="B5:D5"/>
    <x:mergeCell ref="B6:D6"/>
    <x:mergeCell ref="B7:D7"/>
    <x:mergeCell ref="B8:D8"/>
    <x:mergeCell ref="B9:D9"/>
    <x:mergeCell ref="B10:D10"/>
    <x:mergeCell ref="F4:H4"/>
    <x:mergeCell ref="A12:H12"/>
    <x:mergeCell ref="B13:H13"/>
    <x:mergeCell ref="B14:H14"/>
    <x:mergeCell ref="B15:H15"/>
    <x:mergeCell ref="B16:H16"/>
    <x:mergeCell ref="B17:H17"/>
    <x:mergeCell ref="B18:H18"/>
    <x:mergeCell ref="A20:H20"/>
    <x:mergeCell ref="B21:H21"/>
    <x:mergeCell ref="B22:H22"/>
    <x:mergeCell ref="B23:H23"/>
    <x:mergeCell ref="B24:H24"/>
    <x:mergeCell ref="B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4" hidden="0" customWidth="1"/>
    <x:col min="4" max="4" width="30" hidden="0" customWidth="1"/>
    <x:col min="5" max="5" width="16" hidden="0" customWidth="1"/>
    <x:col min="6" max="6" width="10" hidden="0" customWidth="1"/>
    <x:col min="7" max="7" width="16" hidden="0" customWidth="1"/>
    <x:col min="8" max="8" width="56" hidden="0" customWidth="1"/>
  </x:cols>
  <x:sheetData>
    <x:row r="1" ht="36" customHeight="1">
      <x:c r="A1" s="4" t="str">
        <x:v>Workout Plan</x:v>
      </x:c>
      <x:c r="B1" s="4" t="str">
        <x:v>Workout Plan</x:v>
      </x:c>
      <x:c r="C1" s="4" t="str">
        <x:v>Workout Plan</x:v>
      </x:c>
      <x:c r="D1" s="4" t="str">
        <x:v>Workout Plan</x:v>
      </x:c>
      <x:c r="E1" s="4" t="str">
        <x:v>Workout Plan</x:v>
      </x:c>
      <x:c r="F1" s="4" t="str">
        <x:v>Workout Plan</x:v>
      </x:c>
      <x:c r="G1" s="4" t="str">
        <x:v>Workout Plan</x:v>
      </x:c>
      <x:c r="H1" s="4" t="str">
        <x:v>Workout Plan</x:v>
      </x:c>
      <x:c r="I1" s="1"/>
      <x:c r="J1" s="1"/>
      <x:c r="K1" s="1"/>
    </x:row>
    <x:row r="2" ht="30" customHeight="1">
      <x:c r="A2" s="7" t="str">
        <x:v>Poster-inspired military-style movements, translated into real exercise names. Do one round to start.</x:v>
      </x:c>
      <x:c r="B2" s="7" t="str">
        <x:v>Poster-inspired military-style movements, translated into real exercise names. Do one round to start.</x:v>
      </x:c>
      <x:c r="C2" s="7" t="str">
        <x:v>Poster-inspired military-style movements, translated into real exercise names. Do one round to start.</x:v>
      </x:c>
      <x:c r="D2" s="7" t="str">
        <x:v>Poster-inspired military-style movements, translated into real exercise names. Do one round to start.</x:v>
      </x:c>
      <x:c r="E2" s="7" t="str">
        <x:v>Poster-inspired military-style movements, translated into real exercise names. Do one round to start.</x:v>
      </x:c>
      <x:c r="F2" s="7" t="str">
        <x:v>Poster-inspired military-style movements, translated into real exercise names. Do one round to start.</x:v>
      </x:c>
      <x:c r="G2" s="7" t="str">
        <x:v>Poster-inspired military-style movements, translated into real exercise names. Do one round to start.</x:v>
      </x:c>
      <x:c r="H2" s="7" t="str">
        <x:v>Poster-inspired military-style movements, translated into real exercise names. Do one round to start.</x:v>
      </x:c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60" t="str">
        <x:v>Day</x:v>
      </x:c>
      <x:c r="B4" s="61" t="str">
        <x:v>Order</x:v>
      </x:c>
      <x:c r="C4" s="61" t="str">
        <x:v>Poster text</x:v>
      </x:c>
      <x:c r="D4" s="61" t="str">
        <x:v>Exercise to do</x:v>
      </x:c>
      <x:c r="E4" s="61" t="str">
        <x:v>Target</x:v>
      </x:c>
      <x:c r="F4" s="61" t="str">
        <x:v>Sets</x:v>
      </x:c>
      <x:c r="G4" s="61" t="str">
        <x:v>Rest</x:v>
      </x:c>
      <x:c r="H4" s="62" t="str">
        <x:v>How to use it</x:v>
      </x:c>
      <x:c r="I4" s="1"/>
      <x:c r="J4" s="1"/>
      <x:c r="K4" s="1"/>
    </x:row>
    <x:row r="5" ht="54" customHeight="1">
      <x:c r="A5" s="63" t="str">
        <x:v>Monday</x:v>
      </x:c>
      <x:c r="B5" s="21" t="n">
        <x:v>1</x:v>
      </x:c>
      <x:c r="C5" s="21" t="str">
        <x:v>31 Modafy Baskes</x:v>
      </x:c>
      <x:c r="D5" s="21" t="str">
        <x:v>Modified Burpee</x:v>
      </x:c>
      <x:c r="E5" s="68" t="str">
        <x:v>31 reps</x:v>
      </x:c>
      <x:c r="F5" s="68" t="n">
        <x:v>1</x:v>
      </x:c>
      <x:c r="G5" s="21" t="str">
        <x:v>30-60 sec</x:v>
      </x:c>
      <x:c r="H5" s="22" t="str">
        <x:v>Step back instead of jumping if needed. Break into mini-sets such as 10, 10, 11.</x:v>
      </x:c>
      <x:c r="I5" s="1"/>
      <x:c r="J5" s="1"/>
      <x:c r="K5" s="1"/>
    </x:row>
    <x:row r="6" ht="54" customHeight="1">
      <x:c r="A6" s="64" t="str">
        <x:v>Monday</x:v>
      </x:c>
      <x:c r="B6" s="24" t="n">
        <x:v>2</x:v>
      </x:c>
      <x:c r="C6" s="24" t="str">
        <x:v>24 Alermas Stahkosas</x:v>
      </x:c>
      <x:c r="D6" s="24" t="str">
        <x:v>Alternating Step-Up</x:v>
      </x:c>
      <x:c r="E6" s="69" t="str">
        <x:v>24 total</x:v>
      </x:c>
      <x:c r="F6" s="69" t="n">
        <x:v>1</x:v>
      </x:c>
      <x:c r="G6" s="24" t="str">
        <x:v>30-60 sec</x:v>
      </x:c>
      <x:c r="H6" s="25" t="str">
        <x:v>Use stairs or a low sturdy platform. Drive through the whole foot and stand tall.</x:v>
      </x:c>
      <x:c r="I6" s="1"/>
      <x:c r="J6" s="1"/>
      <x:c r="K6" s="1"/>
    </x:row>
    <x:row r="7" ht="54" customHeight="1">
      <x:c r="A7" s="64" t="str">
        <x:v>Monday</x:v>
      </x:c>
      <x:c r="B7" s="24" t="n">
        <x:v>3</x:v>
      </x:c>
      <x:c r="C7" s="24" t="str">
        <x:v>16 Inlute Diamantes</x:v>
      </x:c>
      <x:c r="D7" s="24" t="str">
        <x:v>Incline Diamond Push-Up</x:v>
      </x:c>
      <x:c r="E7" s="69" t="str">
        <x:v>16 reps</x:v>
      </x:c>
      <x:c r="F7" s="69" t="n">
        <x:v>1</x:v>
      </x:c>
      <x:c r="G7" s="24" t="str">
        <x:v>45-75 sec</x:v>
      </x:c>
      <x:c r="H7" s="25" t="str">
        <x:v>Hands close together on a counter, bench, or wall. Keep elbows close and body straight.</x:v>
      </x:c>
      <x:c r="I7" s="1"/>
      <x:c r="J7" s="1"/>
      <x:c r="K7" s="1"/>
    </x:row>
    <x:row r="8" ht="54" customHeight="1">
      <x:c r="A8" s="64" t="str">
        <x:v>Monday</x:v>
      </x:c>
      <x:c r="B8" s="24" t="n">
        <x:v>4</x:v>
      </x:c>
      <x:c r="C8" s="24" t="str">
        <x:v>22 Wacre Bubms</x:v>
      </x:c>
      <x:c r="D8" s="24" t="str">
        <x:v>Wide Push-Up</x:v>
      </x:c>
      <x:c r="E8" s="69" t="str">
        <x:v>22 reps</x:v>
      </x:c>
      <x:c r="F8" s="69" t="n">
        <x:v>1</x:v>
      </x:c>
      <x:c r="G8" s="24" t="str">
        <x:v>45-75 sec</x:v>
      </x:c>
      <x:c r="H8" s="25" t="str">
        <x:v>Hands wider than shoulders. Use knees or an incline if full push-ups break form.</x:v>
      </x:c>
      <x:c r="I8" s="1"/>
      <x:c r="J8" s="1"/>
      <x:c r="K8" s="1"/>
    </x:row>
    <x:row r="9" ht="54" customHeight="1">
      <x:c r="A9" s="64" t="str">
        <x:v>Monday</x:v>
      </x:c>
      <x:c r="B9" s="24" t="n">
        <x:v>5</x:v>
      </x:c>
      <x:c r="C9" s="24" t="str">
        <x:v>15 Rahyefos Cansst</x:v>
      </x:c>
      <x:c r="D9" s="24" t="str">
        <x:v>Reverse Crunch</x:v>
      </x:c>
      <x:c r="E9" s="69" t="str">
        <x:v>15 reps</x:v>
      </x:c>
      <x:c r="F9" s="69" t="n">
        <x:v>1</x:v>
      </x:c>
      <x:c r="G9" s="24" t="str">
        <x:v>30-60 sec</x:v>
      </x:c>
      <x:c r="H9" s="25" t="str">
        <x:v>Curl hips slightly off the floor. Move slowly instead of swinging your legs.</x:v>
      </x:c>
      <x:c r="I9" s="1"/>
      <x:c r="J9" s="1"/>
      <x:c r="K9" s="1"/>
    </x:row>
    <x:row r="10" ht="54" customHeight="1">
      <x:c r="A10" s="64" t="str">
        <x:v>Monday</x:v>
      </x:c>
      <x:c r="B10" s="24" t="n">
        <x:v>6</x:v>
      </x:c>
      <x:c r="C10" s="24" t="str">
        <x:v>15 Serence Cames</x:v>
      </x:c>
      <x:c r="D10" s="24" t="str">
        <x:v>Scissor Kick</x:v>
      </x:c>
      <x:c r="E10" s="69" t="str">
        <x:v>15 each side</x:v>
      </x:c>
      <x:c r="F10" s="69" t="n">
        <x:v>1</x:v>
      </x:c>
      <x:c r="G10" s="24" t="str">
        <x:v>30-60 sec</x:v>
      </x:c>
      <x:c r="H10" s="25" t="str">
        <x:v>Keep low back heavy on the floor. Raise legs higher if your back arches.</x:v>
      </x:c>
      <x:c r="I10" s="1"/>
      <x:c r="J10" s="1"/>
      <x:c r="K10" s="1"/>
    </x:row>
    <x:row r="11" ht="54" customHeight="1">
      <x:c r="A11" s="64" t="str">
        <x:v>Monday</x:v>
      </x:c>
      <x:c r="B11" s="24" t="n">
        <x:v>7</x:v>
      </x:c>
      <x:c r="C11" s="24" t="str">
        <x:v>19 Prenenc Cones</x:v>
      </x:c>
      <x:c r="D11" s="24" t="str">
        <x:v>Prone Cobra</x:v>
      </x:c>
      <x:c r="E11" s="69" t="str">
        <x:v>19 reps</x:v>
      </x:c>
      <x:c r="F11" s="69" t="n">
        <x:v>1</x:v>
      </x:c>
      <x:c r="G11" s="24" t="str">
        <x:v>30-60 sec</x:v>
      </x:c>
      <x:c r="H11" s="25" t="str">
        <x:v>Lie face down, lift chest gently, squeeze shoulder blades, then lower under control.</x:v>
      </x:c>
      <x:c r="I11" s="1"/>
      <x:c r="J11" s="1"/>
      <x:c r="K11" s="1"/>
    </x:row>
    <x:row r="12" ht="54" customHeight="1">
      <x:c r="A12" s="64" t="str">
        <x:v>Monday</x:v>
      </x:c>
      <x:c r="B12" s="24" t="n">
        <x:v>8</x:v>
      </x:c>
      <x:c r="C12" s="24" t="str">
        <x:v>21 Ongles Glarks</x:v>
      </x:c>
      <x:c r="D12" s="24" t="str">
        <x:v>Single-Leg Glute Bridge</x:v>
      </x:c>
      <x:c r="E12" s="69" t="str">
        <x:v>21 total</x:v>
      </x:c>
      <x:c r="F12" s="69" t="n">
        <x:v>1</x:v>
      </x:c>
      <x:c r="G12" s="24" t="str">
        <x:v>30-60 sec</x:v>
      </x:c>
      <x:c r="H12" s="25" t="str">
        <x:v>Press through the heel. Switch sides halfway and keep hips level.</x:v>
      </x:c>
      <x:c r="I12" s="1"/>
      <x:c r="J12" s="1"/>
      <x:c r="K12" s="1"/>
    </x:row>
    <x:row r="13" ht="54" customHeight="1">
      <x:c r="A13" s="65" t="str">
        <x:v>Tuesday</x:v>
      </x:c>
      <x:c r="B13" s="24" t="n">
        <x:v>1</x:v>
      </x:c>
      <x:c r="C13" s="24" t="str">
        <x:v>16 Strectosps</x:v>
      </x:c>
      <x:c r="D13" s="24" t="str">
        <x:v>Step-Up</x:v>
      </x:c>
      <x:c r="E13" s="69" t="str">
        <x:v>16 total</x:v>
      </x:c>
      <x:c r="F13" s="69" t="n">
        <x:v>1</x:v>
      </x:c>
      <x:c r="G13" s="24" t="str">
        <x:v>30-60 sec</x:v>
      </x:c>
      <x:c r="H13" s="25" t="str">
        <x:v>Low platform is fine. Control the step down instead of dropping.</x:v>
      </x:c>
      <x:c r="I13" s="1"/>
      <x:c r="J13" s="1"/>
      <x:c r="K13" s="1"/>
    </x:row>
    <x:row r="14" ht="54" customHeight="1">
      <x:c r="A14" s="65" t="str">
        <x:v>Tuesday</x:v>
      </x:c>
      <x:c r="B14" s="24" t="n">
        <x:v>2</x:v>
      </x:c>
      <x:c r="C14" s="24" t="str">
        <x:v>22 Cremilidons Gossveis</x:v>
      </x:c>
      <x:c r="D14" s="24" t="str">
        <x:v>Cross-Body Mountain Climber</x:v>
      </x:c>
      <x:c r="E14" s="69" t="str">
        <x:v>22 total</x:v>
      </x:c>
      <x:c r="F14" s="69" t="n">
        <x:v>1</x:v>
      </x:c>
      <x:c r="G14" s="24" t="str">
        <x:v>30-60 sec</x:v>
      </x:c>
      <x:c r="H14" s="25" t="str">
        <x:v>From plank, bring knee toward opposite elbow. Slow version is completely acceptable.</x:v>
      </x:c>
      <x:c r="I14" s="1"/>
      <x:c r="J14" s="1"/>
      <x:c r="K14" s="1"/>
    </x:row>
    <x:row r="15" ht="54" customHeight="1">
      <x:c r="A15" s="65" t="str">
        <x:v>Tuesday</x:v>
      </x:c>
      <x:c r="B15" s="24" t="n">
        <x:v>3</x:v>
      </x:c>
      <x:c r="C15" s="24" t="str">
        <x:v>20 Berls Dess</x:v>
      </x:c>
      <x:c r="D15" s="24" t="str">
        <x:v>Burpee</x:v>
      </x:c>
      <x:c r="E15" s="69" t="str">
        <x:v>20 reps</x:v>
      </x:c>
      <x:c r="F15" s="69" t="n">
        <x:v>1</x:v>
      </x:c>
      <x:c r="G15" s="24" t="str">
        <x:v>45-90 sec</x:v>
      </x:c>
      <x:c r="H15" s="25" t="str">
        <x:v>Use step-back burpees at first. Add the jump or push-up only when ready.</x:v>
      </x:c>
      <x:c r="I15" s="1"/>
      <x:c r="J15" s="1"/>
      <x:c r="K15" s="1"/>
    </x:row>
    <x:row r="16" ht="54" customHeight="1">
      <x:c r="A16" s="65" t="str">
        <x:v>Tuesday</x:v>
      </x:c>
      <x:c r="B16" s="24" t="n">
        <x:v>4</x:v>
      </x:c>
      <x:c r="C16" s="24" t="str">
        <x:v>1 Drienthis</x:v>
      </x:c>
      <x:c r="D16" s="24" t="str">
        <x:v>Forearm Plank</x:v>
      </x:c>
      <x:c r="E16" s="69" t="str">
        <x:v>1 minute</x:v>
      </x:c>
      <x:c r="F16" s="69" t="n">
        <x:v>1</x:v>
      </x:c>
      <x:c r="G16" s="24" t="str">
        <x:v>45-75 sec</x:v>
      </x:c>
      <x:c r="H16" s="25" t="str">
        <x:v>Hold ribs down and squeeze glutes. Drop knees and collect short holds if needed.</x:v>
      </x:c>
      <x:c r="I16" s="1"/>
      <x:c r="J16" s="1"/>
      <x:c r="K16" s="1"/>
    </x:row>
    <x:row r="17" ht="54" customHeight="1">
      <x:c r="A17" s="65" t="str">
        <x:v>Tuesday</x:v>
      </x:c>
      <x:c r="B17" s="24" t="n">
        <x:v>5</x:v>
      </x:c>
      <x:c r="C17" s="24" t="str">
        <x:v>20 Shagly Press (Base)</x:v>
      </x:c>
      <x:c r="D17" s="24" t="str">
        <x:v>Squat Press</x:v>
      </x:c>
      <x:c r="E17" s="69" t="str">
        <x:v>20 reps</x:v>
      </x:c>
      <x:c r="F17" s="69" t="n">
        <x:v>1</x:v>
      </x:c>
      <x:c r="G17" s="24" t="str">
        <x:v>30-60 sec</x:v>
      </x:c>
      <x:c r="H17" s="25" t="str">
        <x:v>Bodyweight squat, then reach arms overhead as you stand. Smooth tempo.</x:v>
      </x:c>
      <x:c r="I17" s="1"/>
      <x:c r="J17" s="1"/>
      <x:c r="K17" s="1"/>
    </x:row>
    <x:row r="18" ht="54" customHeight="1">
      <x:c r="A18" s="65" t="str">
        <x:v>Tuesday</x:v>
      </x:c>
      <x:c r="B18" s="24" t="n">
        <x:v>6</x:v>
      </x:c>
      <x:c r="C18" s="24" t="str">
        <x:v>20 Disstarm Cleans</x:v>
      </x:c>
      <x:c r="D18" s="24" t="str">
        <x:v>Squat Thrust</x:v>
      </x:c>
      <x:c r="E18" s="69" t="str">
        <x:v>20 reps</x:v>
      </x:c>
      <x:c r="F18" s="69" t="n">
        <x:v>1</x:v>
      </x:c>
      <x:c r="G18" s="24" t="str">
        <x:v>45-75 sec</x:v>
      </x:c>
      <x:c r="H18" s="25" t="str">
        <x:v>Hands down, step or hop feet back to plank, then return to standing. No jump required.</x:v>
      </x:c>
      <x:c r="I18" s="1"/>
      <x:c r="J18" s="1"/>
      <x:c r="K18" s="1"/>
    </x:row>
    <x:row r="19" ht="54" customHeight="1">
      <x:c r="A19" s="65" t="str">
        <x:v>Tuesday</x:v>
      </x:c>
      <x:c r="B19" s="24" t="n">
        <x:v>7</x:v>
      </x:c>
      <x:c r="C19" s="24" t="str">
        <x:v>17 Scattle &amp; Squat</x:v>
      </x:c>
      <x:c r="D19" s="24" t="str">
        <x:v>Skater Squat</x:v>
      </x:c>
      <x:c r="E19" s="69" t="str">
        <x:v>17 total</x:v>
      </x:c>
      <x:c r="F19" s="69" t="n">
        <x:v>1</x:v>
      </x:c>
      <x:c r="G19" s="24" t="str">
        <x:v>45-75 sec</x:v>
      </x:c>
      <x:c r="H19" s="25" t="str">
        <x:v>Step diagonally back like a skater, then squat lightly. Keep knee tracking over toes.</x:v>
      </x:c>
      <x:c r="I19" s="1"/>
      <x:c r="J19" s="1"/>
      <x:c r="K19" s="1"/>
    </x:row>
    <x:row r="20" ht="54" customHeight="1">
      <x:c r="A20" s="65" t="str">
        <x:v>Tuesday</x:v>
      </x:c>
      <x:c r="B20" s="24" t="n">
        <x:v>8</x:v>
      </x:c>
      <x:c r="C20" s="24" t="str">
        <x:v>18 Dxgees Stance Cals</x:v>
      </x:c>
      <x:c r="D20" s="24" t="str">
        <x:v>Wide-Stance Calf Raise</x:v>
      </x:c>
      <x:c r="E20" s="69" t="str">
        <x:v>18 reps</x:v>
      </x:c>
      <x:c r="F20" s="69" t="n">
        <x:v>1</x:v>
      </x:c>
      <x:c r="G20" s="24" t="str">
        <x:v>30-60 sec</x:v>
      </x:c>
      <x:c r="H20" s="25" t="str">
        <x:v>Feet slightly wider than hips. Rise onto toes, pause, lower slowly.</x:v>
      </x:c>
      <x:c r="I20" s="1"/>
      <x:c r="J20" s="1"/>
      <x:c r="K20" s="1"/>
    </x:row>
    <x:row r="21" ht="54" customHeight="1">
      <x:c r="A21" s="66" t="str">
        <x:v>Wednesday</x:v>
      </x:c>
      <x:c r="B21" s="24" t="n">
        <x:v>1</x:v>
      </x:c>
      <x:c r="C21" s="24" t="str">
        <x:v>18 Eeewwe WasBes</x:v>
      </x:c>
      <x:c r="D21" s="24" t="str">
        <x:v>Elbow Walkout</x:v>
      </x:c>
      <x:c r="E21" s="69" t="str">
        <x:v>18 reps</x:v>
      </x:c>
      <x:c r="F21" s="69" t="n">
        <x:v>1</x:v>
      </x:c>
      <x:c r="G21" s="24" t="str">
        <x:v>45-75 sec</x:v>
      </x:c>
      <x:c r="H21" s="25" t="str">
        <x:v>From standing or knees, walk hands out toward plank and back. Keep the range controlled.</x:v>
      </x:c>
      <x:c r="I21" s="1"/>
      <x:c r="J21" s="1"/>
      <x:c r="K21" s="1"/>
    </x:row>
    <x:row r="22" ht="54" customHeight="1">
      <x:c r="A22" s="66" t="str">
        <x:v>Wednesday</x:v>
      </x:c>
      <x:c r="B22" s="24" t="n">
        <x:v>2</x:v>
      </x:c>
      <x:c r="C22" s="24" t="str">
        <x:v>16 Goosshees</x:v>
      </x:c>
      <x:c r="D22" s="24" t="str">
        <x:v>Good Morning / Hip Hinge</x:v>
      </x:c>
      <x:c r="E22" s="69" t="str">
        <x:v>16 reps</x:v>
      </x:c>
      <x:c r="F22" s="69" t="n">
        <x:v>1</x:v>
      </x:c>
      <x:c r="G22" s="24" t="str">
        <x:v>30-60 sec</x:v>
      </x:c>
      <x:c r="H22" s="25" t="str">
        <x:v>Hands behind head or across chest. Hinge at hips with soft knees and a flat back.</x:v>
      </x:c>
      <x:c r="I22" s="1"/>
      <x:c r="J22" s="1"/>
      <x:c r="K22" s="1"/>
    </x:row>
    <x:row r="23" ht="54" customHeight="1">
      <x:c r="A23" s="66" t="str">
        <x:v>Wednesday</x:v>
      </x:c>
      <x:c r="B23" s="24" t="n">
        <x:v>3</x:v>
      </x:c>
      <x:c r="C23" s="24" t="str">
        <x:v>22 Abstitiers</x:v>
      </x:c>
      <x:c r="D23" s="24" t="str">
        <x:v>Sit-Up or Crunch</x:v>
      </x:c>
      <x:c r="E23" s="69" t="str">
        <x:v>22 reps</x:v>
      </x:c>
      <x:c r="F23" s="69" t="n">
        <x:v>1</x:v>
      </x:c>
      <x:c r="G23" s="24" t="str">
        <x:v>30-60 sec</x:v>
      </x:c>
      <x:c r="H23" s="25" t="str">
        <x:v>Use crunches if full sit-ups bother your back or hips.</x:v>
      </x:c>
      <x:c r="I23" s="1"/>
      <x:c r="J23" s="1"/>
      <x:c r="K23" s="1"/>
    </x:row>
    <x:row r="24" ht="54" customHeight="1">
      <x:c r="A24" s="66" t="str">
        <x:v>Wednesday</x:v>
      </x:c>
      <x:c r="B24" s="24" t="n">
        <x:v>4</x:v>
      </x:c>
      <x:c r="C24" s="24" t="str">
        <x:v>20 Bamt Knees</x:v>
      </x:c>
      <x:c r="D24" s="24" t="str">
        <x:v>Bent-Knee Leg Raise</x:v>
      </x:c>
      <x:c r="E24" s="69" t="str">
        <x:v>20 reps</x:v>
      </x:c>
      <x:c r="F24" s="69" t="n">
        <x:v>1</x:v>
      </x:c>
      <x:c r="G24" s="24" t="str">
        <x:v>30-60 sec</x:v>
      </x:c>
      <x:c r="H24" s="25" t="str">
        <x:v>Keep knees bent and lift/lower slowly. Keep low back from arching.</x:v>
      </x:c>
      <x:c r="I24" s="1"/>
      <x:c r="J24" s="1"/>
      <x:c r="K24" s="1"/>
    </x:row>
    <x:row r="25" ht="54" customHeight="1">
      <x:c r="A25" s="66" t="str">
        <x:v>Wednesday</x:v>
      </x:c>
      <x:c r="B25" s="24" t="n">
        <x:v>5</x:v>
      </x:c>
      <x:c r="C25" s="24" t="str">
        <x:v>18 Inverses Rows</x:v>
      </x:c>
      <x:c r="D25" s="24" t="str">
        <x:v>Inverted Row</x:v>
      </x:c>
      <x:c r="E25" s="69" t="str">
        <x:v>18 reps</x:v>
      </x:c>
      <x:c r="F25" s="69" t="n">
        <x:v>1</x:v>
      </x:c>
      <x:c r="G25" s="24" t="str">
        <x:v>60-90 sec</x:v>
      </x:c>
      <x:c r="H25" s="25" t="str">
        <x:v>Use a sturdy table edge, low bar, or suspension straps. Squeeze shoulder blades at the top.</x:v>
      </x:c>
      <x:c r="I25" s="1"/>
      <x:c r="J25" s="1"/>
      <x:c r="K25" s="1"/>
    </x:row>
    <x:row r="26" ht="54" customHeight="1">
      <x:c r="A26" s="66" t="str">
        <x:v>Wednesday</x:v>
      </x:c>
      <x:c r="B26" s="24" t="n">
        <x:v>6</x:v>
      </x:c>
      <x:c r="C26" s="24" t="str">
        <x:v>18 Senes Looges</x:v>
      </x:c>
      <x:c r="D26" s="24" t="str">
        <x:v>Side Lunge</x:v>
      </x:c>
      <x:c r="E26" s="69" t="str">
        <x:v>18 total</x:v>
      </x:c>
      <x:c r="F26" s="69" t="n">
        <x:v>1</x:v>
      </x:c>
      <x:c r="G26" s="24" t="str">
        <x:v>45-75 sec</x:v>
      </x:c>
      <x:c r="H26" s="25" t="str">
        <x:v>Step to the side, sit hips back, keep the other leg straighter, then push back to center.</x:v>
      </x:c>
      <x:c r="I26" s="1"/>
      <x:c r="J26" s="1"/>
      <x:c r="K26" s="1"/>
    </x:row>
    <x:row r="27" ht="54" customHeight="1">
      <x:c r="A27" s="66" t="str">
        <x:v>Wednesday</x:v>
      </x:c>
      <x:c r="B27" s="24" t="n">
        <x:v>7</x:v>
      </x:c>
      <x:c r="C27" s="24" t="str">
        <x:v>17 Ognewiats</x:v>
      </x:c>
      <x:c r="D27" s="24" t="str">
        <x:v>Walking Lunge</x:v>
      </x:c>
      <x:c r="E27" s="69" t="str">
        <x:v>17 total</x:v>
      </x:c>
      <x:c r="F27" s="69" t="n">
        <x:v>1</x:v>
      </x:c>
      <x:c r="G27" s="24" t="str">
        <x:v>45-75 sec</x:v>
      </x:c>
      <x:c r="H27" s="25" t="str">
        <x:v>Short steps are fine. Keep torso tall and use support if balance is shaky.</x:v>
      </x:c>
      <x:c r="I27" s="1"/>
      <x:c r="J27" s="1"/>
      <x:c r="K27" s="1"/>
    </x:row>
    <x:row r="28" ht="54" customHeight="1">
      <x:c r="A28" s="67" t="str">
        <x:v>Wednesday</x:v>
      </x:c>
      <x:c r="B28" s="27" t="n">
        <x:v>8</x:v>
      </x:c>
      <x:c r="C28" s="27" t="str">
        <x:v>18 Strabler Cames</x:v>
      </x:c>
      <x:c r="D28" s="27" t="str">
        <x:v>Plank Shoulder Tap</x:v>
      </x:c>
      <x:c r="E28" s="70" t="str">
        <x:v>18 total taps</x:v>
      </x:c>
      <x:c r="F28" s="70" t="n">
        <x:v>1</x:v>
      </x:c>
      <x:c r="G28" s="27" t="str">
        <x:v>45-75 sec</x:v>
      </x:c>
      <x:c r="H28" s="28" t="str">
        <x:v>From plank or knees, tap opposite shoulder while hips stay as quiet as possible.</x:v>
      </x:c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8" hidden="0" customWidth="1"/>
    <x:col min="5" max="5" width="34" hidden="0" customWidth="1"/>
    <x:col min="6" max="6" width="34" hidden="0" customWidth="1"/>
  </x:cols>
  <x:sheetData>
    <x:row r="1" ht="36" customHeight="1">
      <x:c r="A1" s="4" t="str">
        <x:v>Exercise Guide</x:v>
      </x:c>
      <x:c r="B1" s="4" t="str">
        <x:v>Exercise Guide</x:v>
      </x:c>
      <x:c r="C1" s="4" t="str">
        <x:v>Exercise Guide</x:v>
      </x:c>
      <x:c r="D1" s="4" t="str">
        <x:v>Exercise Guide</x:v>
      </x:c>
      <x:c r="E1" s="4" t="str">
        <x:v>Exercise Guide</x:v>
      </x:c>
      <x:c r="F1" s="4" t="str">
        <x:v>Exercise Guide</x:v>
      </x:c>
      <x:c r="G1" s="1"/>
      <x:c r="H1" s="1"/>
      <x:c r="I1" s="1"/>
      <x:c r="J1" s="1"/>
      <x:c r="K1" s="1"/>
    </x:row>
    <x:row r="2" ht="30" customHeight="1">
      <x:c r="A2" s="7" t="str">
        <x:v>Plain-English form cues. Use the easier option any time your joints, balance, or conditioning asks for it.</x:v>
      </x:c>
      <x:c r="B2" s="7" t="str">
        <x:v>Plain-English form cues. Use the easier option any time your joints, balance, or conditioning asks for it.</x:v>
      </x:c>
      <x:c r="C2" s="7" t="str">
        <x:v>Plain-English form cues. Use the easier option any time your joints, balance, or conditioning asks for it.</x:v>
      </x:c>
      <x:c r="D2" s="7" t="str">
        <x:v>Plain-English form cues. Use the easier option any time your joints, balance, or conditioning asks for it.</x:v>
      </x:c>
      <x:c r="E2" s="7" t="str">
        <x:v>Plain-English form cues. Use the easier option any time your joints, balance, or conditioning asks for it.</x:v>
      </x:c>
      <x:c r="F2" s="7" t="str">
        <x:v>Plain-English form cues. Use the easier option any time your joints, balance, or conditioning asks for it.</x:v>
      </x:c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60" t="str">
        <x:v>Exercise</x:v>
      </x:c>
      <x:c r="B4" s="61" t="str">
        <x:v>Setup</x:v>
      </x:c>
      <x:c r="C4" s="61" t="str">
        <x:v>How to do it</x:v>
      </x:c>
      <x:c r="D4" s="61" t="str">
        <x:v>Watch for</x:v>
      </x:c>
      <x:c r="E4" s="61" t="str">
        <x:v>Easier option</x:v>
      </x:c>
      <x:c r="F4" s="62" t="str">
        <x:v>Harder option</x:v>
      </x:c>
      <x:c r="G4" s="1"/>
      <x:c r="H4" s="1"/>
      <x:c r="I4" s="1"/>
      <x:c r="J4" s="1"/>
      <x:c r="K4" s="1"/>
    </x:row>
    <x:row r="5" ht="82" customHeight="1">
      <x:c r="A5" s="20" t="str">
        <x:v>Modified Burpee</x:v>
      </x:c>
      <x:c r="B5" s="21" t="str">
        <x:v>Stand tall with feet hip-width apart.</x:v>
      </x:c>
      <x:c r="C5" s="21" t="str">
        <x:v>Squat, place hands down, step feet back to plank, step in, stand. Add a small reach overhead.</x:v>
      </x:c>
      <x:c r="D5" s="21" t="str">
        <x:v>Keep hands under shoulders in plank. Do not let the low back sag.</x:v>
      </x:c>
      <x:c r="E5" s="21" t="str">
        <x:v>Step back one foot at a time and skip the jump.</x:v>
      </x:c>
      <x:c r="F5" s="22" t="str">
        <x:v>Hop feet back/in and add a push-up.</x:v>
      </x:c>
      <x:c r="G5" s="1"/>
      <x:c r="H5" s="1"/>
      <x:c r="I5" s="1"/>
      <x:c r="J5" s="1"/>
      <x:c r="K5" s="1"/>
    </x:row>
    <x:row r="6" ht="82" customHeight="1">
      <x:c r="A6" s="23" t="str">
        <x:v>Burpee</x:v>
      </x:c>
      <x:c r="B6" s="24" t="str">
        <x:v>Stand with space around you.</x:v>
      </x:c>
      <x:c r="C6" s="24" t="str">
        <x:v>Squat down, hands to floor, jump or step to plank, return feet, stand or jump.</x:v>
      </x:c>
      <x:c r="D6" s="24" t="str">
        <x:v>Land softly. Keep the pace smooth enough that breathing stays controlled.</x:v>
      </x:c>
      <x:c r="E6" s="24" t="str">
        <x:v>Use the modified burpee.</x:v>
      </x:c>
      <x:c r="F6" s="25" t="str">
        <x:v>Add a strict push-up and vertical jump.</x:v>
      </x:c>
      <x:c r="G6" s="1"/>
      <x:c r="H6" s="1"/>
      <x:c r="I6" s="1"/>
      <x:c r="J6" s="1"/>
      <x:c r="K6" s="1"/>
    </x:row>
    <x:row r="7" ht="82" customHeight="1">
      <x:c r="A7" s="23" t="str">
        <x:v>Step-Up</x:v>
      </x:c>
      <x:c r="B7" s="24" t="str">
        <x:v>Use a stair or sturdy low box.</x:v>
      </x:c>
      <x:c r="C7" s="24" t="str">
        <x:v>Place whole foot on the step, stand tall, then step down under control. Alternate legs.</x:v>
      </x:c>
      <x:c r="D7" s="24" t="str">
        <x:v>Do not push off hard from the lower foot. Keep knee aligned with toes.</x:v>
      </x:c>
      <x:c r="E7" s="24" t="str">
        <x:v>Use a lower step or hold a rail.</x:v>
      </x:c>
      <x:c r="F7" s="25" t="str">
        <x:v>Use a higher step or slow 3-second descents.</x:v>
      </x:c>
      <x:c r="G7" s="1"/>
      <x:c r="H7" s="1"/>
      <x:c r="I7" s="1"/>
      <x:c r="J7" s="1"/>
      <x:c r="K7" s="1"/>
    </x:row>
    <x:row r="8" ht="82" customHeight="1">
      <x:c r="A8" s="23" t="str">
        <x:v>Alternating Step-Up</x:v>
      </x:c>
      <x:c r="B8" s="24" t="str">
        <x:v>Same as step-up, alternating lead leg each rep.</x:v>
      </x:c>
      <x:c r="C8" s="24" t="str">
        <x:v>Right foot leads one rep, left foot leads the next. Stand fully at the top.</x:v>
      </x:c>
      <x:c r="D8" s="24" t="str">
        <x:v>Avoid rushing the step down.</x:v>
      </x:c>
      <x:c r="E8" s="24" t="str">
        <x:v>Lower step height.</x:v>
      </x:c>
      <x:c r="F8" s="25" t="str">
        <x:v>Hold light weights or add knee drive.</x:v>
      </x:c>
      <x:c r="G8" s="1"/>
      <x:c r="H8" s="1"/>
      <x:c r="I8" s="1"/>
      <x:c r="J8" s="1"/>
      <x:c r="K8" s="1"/>
    </x:row>
    <x:row r="9" ht="82" customHeight="1">
      <x:c r="A9" s="23" t="str">
        <x:v>Incline Diamond Push-Up</x:v>
      </x:c>
      <x:c r="B9" s="24" t="str">
        <x:v>Hands close together on wall, counter, bench, or floor.</x:v>
      </x:c>
      <x:c r="C9" s="24" t="str">
        <x:v>Make a diamond or narrow hand position. Lower chest toward hands, press back up.</x:v>
      </x:c>
      <x:c r="D9" s="24" t="str">
        <x:v>Keep elbows close and body in a straight line.</x:v>
      </x:c>
      <x:c r="E9" s="24" t="str">
        <x:v>Use a higher incline, such as a wall.</x:v>
      </x:c>
      <x:c r="F9" s="25" t="str">
        <x:v>Lower the incline or do them from the floor.</x:v>
      </x:c>
      <x:c r="G9" s="1"/>
      <x:c r="H9" s="1"/>
      <x:c r="I9" s="1"/>
      <x:c r="J9" s="1"/>
      <x:c r="K9" s="1"/>
    </x:row>
    <x:row r="10" ht="82" customHeight="1">
      <x:c r="A10" s="23" t="str">
        <x:v>Wide Push-Up</x:v>
      </x:c>
      <x:c r="B10" s="24" t="str">
        <x:v>Hands wider than shoulders, body straight.</x:v>
      </x:c>
      <x:c r="C10" s="24" t="str">
        <x:v>Lower chest between hands, pause lightly, press up.</x:v>
      </x:c>
      <x:c r="D10" s="24" t="str">
        <x:v>Do not flare shoulders painfully or let hips sag.</x:v>
      </x:c>
      <x:c r="E10" s="24" t="str">
        <x:v>Use knees or an incline.</x:v>
      </x:c>
      <x:c r="F10" s="25" t="str">
        <x:v>Add a slow 3-second lowering phase.</x:v>
      </x:c>
      <x:c r="G10" s="1"/>
      <x:c r="H10" s="1"/>
      <x:c r="I10" s="1"/>
      <x:c r="J10" s="1"/>
      <x:c r="K10" s="1"/>
    </x:row>
    <x:row r="11" ht="82" customHeight="1">
      <x:c r="A11" s="23" t="str">
        <x:v>Reverse Crunch</x:v>
      </x:c>
      <x:c r="B11" s="24" t="str">
        <x:v>Lie on back, knees bent over hips.</x:v>
      </x:c>
      <x:c r="C11" s="24" t="str">
        <x:v>Curl hips slightly off floor, bringing knees toward chest, then lower slowly.</x:v>
      </x:c>
      <x:c r="D11" s="24" t="str">
        <x:v>Use abs to lift, not momentum.</x:v>
      </x:c>
      <x:c r="E11" s="24" t="str">
        <x:v>Keep feet closer to floor and move smaller.</x:v>
      </x:c>
      <x:c r="F11" s="25" t="str">
        <x:v>Straighten legs more or pause at the top.</x:v>
      </x:c>
      <x:c r="G11" s="1"/>
      <x:c r="H11" s="1"/>
      <x:c r="I11" s="1"/>
      <x:c r="J11" s="1"/>
      <x:c r="K11" s="1"/>
    </x:row>
    <x:row r="12" ht="82" customHeight="1">
      <x:c r="A12" s="23" t="str">
        <x:v>Scissor Kick</x:v>
      </x:c>
      <x:c r="B12" s="24" t="str">
        <x:v>Lie on back, legs extended or slightly bent.</x:v>
      </x:c>
      <x:c r="C12" s="24" t="str">
        <x:v>Alternate one leg up and one leg down in a controlled scissor motion.</x:v>
      </x:c>
      <x:c r="D12" s="24" t="str">
        <x:v>Low back should stay heavy on the floor.</x:v>
      </x:c>
      <x:c r="E12" s="24" t="str">
        <x:v>Raise legs higher or bend knees.</x:v>
      </x:c>
      <x:c r="F12" s="25" t="str">
        <x:v>Lower legs closer to the floor while keeping back flat.</x:v>
      </x:c>
      <x:c r="G12" s="1"/>
      <x:c r="H12" s="1"/>
      <x:c r="I12" s="1"/>
      <x:c r="J12" s="1"/>
      <x:c r="K12" s="1"/>
    </x:row>
    <x:row r="13" ht="82" customHeight="1">
      <x:c r="A13" s="23" t="str">
        <x:v>Prone Cobra</x:v>
      </x:c>
      <x:c r="B13" s="24" t="str">
        <x:v>Lie face down, arms by sides or in a W.</x:v>
      </x:c>
      <x:c r="C13" s="24" t="str">
        <x:v>Lift chest gently, squeeze shoulder blades, rotate thumbs up, lower.</x:v>
      </x:c>
      <x:c r="D13" s="24" t="str">
        <x:v>Keep neck long. This should feel like upper back, not low back strain.</x:v>
      </x:c>
      <x:c r="E13" s="24" t="str">
        <x:v>Lift only a little and hold 1 second.</x:v>
      </x:c>
      <x:c r="F13" s="25" t="str">
        <x:v>Hold 3 seconds each rep.</x:v>
      </x:c>
      <x:c r="G13" s="1"/>
      <x:c r="H13" s="1"/>
      <x:c r="I13" s="1"/>
      <x:c r="J13" s="1"/>
      <x:c r="K13" s="1"/>
    </x:row>
    <x:row r="14" ht="82" customHeight="1">
      <x:c r="A14" s="23" t="str">
        <x:v>Single-Leg Glute Bridge</x:v>
      </x:c>
      <x:c r="B14" s="24" t="str">
        <x:v>Lie on back, one knee bent, other foot lifted.</x:v>
      </x:c>
      <x:c r="C14" s="24" t="str">
        <x:v>Drive through heel, lift hips, pause, lower. Switch sides halfway.</x:v>
      </x:c>
      <x:c r="D14" s="24" t="str">
        <x:v>Do not twist hips. Keep ribs down.</x:v>
      </x:c>
      <x:c r="E14" s="24" t="str">
        <x:v>Use both feet on the floor.</x:v>
      </x:c>
      <x:c r="F14" s="25" t="str">
        <x:v>Elevate shoulders or feet.</x:v>
      </x:c>
      <x:c r="G14" s="1"/>
      <x:c r="H14" s="1"/>
      <x:c r="I14" s="1"/>
      <x:c r="J14" s="1"/>
      <x:c r="K14" s="1"/>
    </x:row>
    <x:row r="15" ht="82" customHeight="1">
      <x:c r="A15" s="23" t="str">
        <x:v>Cross-Body Mountain Climber</x:v>
      </x:c>
      <x:c r="B15" s="24" t="str">
        <x:v>Start in high plank.</x:v>
      </x:c>
      <x:c r="C15" s="24" t="str">
        <x:v>Bring right knee toward left elbow, return, alternate sides.</x:v>
      </x:c>
      <x:c r="D15" s="24" t="str">
        <x:v>Keep shoulders over hands and hips steady.</x:v>
      </x:c>
      <x:c r="E15" s="24" t="str">
        <x:v>Slow it down or use hands on a bench.</x:v>
      </x:c>
      <x:c r="F15" s="25" t="str">
        <x:v>Speed up while keeping quiet hips.</x:v>
      </x:c>
      <x:c r="G15" s="1"/>
      <x:c r="H15" s="1"/>
      <x:c r="I15" s="1"/>
      <x:c r="J15" s="1"/>
      <x:c r="K15" s="1"/>
    </x:row>
    <x:row r="16" ht="82" customHeight="1">
      <x:c r="A16" s="23" t="str">
        <x:v>Forearm Plank</x:v>
      </x:c>
      <x:c r="B16" s="24" t="str">
        <x:v>Forearms on floor, elbows under shoulders.</x:v>
      </x:c>
      <x:c r="C16" s="24" t="str">
        <x:v>Brace abs and glutes, hold a straight line from shoulders to ankles.</x:v>
      </x:c>
      <x:c r="D16" s="24" t="str">
        <x:v>Do not hold breath or let hips sag.</x:v>
      </x:c>
      <x:c r="E16" s="24" t="str">
        <x:v>Drop knees or do several shorter holds.</x:v>
      </x:c>
      <x:c r="F16" s="25" t="str">
        <x:v>Add shoulder taps or longer holds.</x:v>
      </x:c>
      <x:c r="G16" s="1"/>
      <x:c r="H16" s="1"/>
      <x:c r="I16" s="1"/>
      <x:c r="J16" s="1"/>
      <x:c r="K16" s="1"/>
    </x:row>
    <x:row r="17" ht="82" customHeight="1">
      <x:c r="A17" s="23" t="str">
        <x:v>Squat Press</x:v>
      </x:c>
      <x:c r="B17" s="24" t="str">
        <x:v>Stand with feet about shoulder-width, arms at shoulders.</x:v>
      </x:c>
      <x:c r="C17" s="24" t="str">
        <x:v>Squat back and down, stand, then reach arms overhead as if pressing.</x:v>
      </x:c>
      <x:c r="D17" s="24" t="str">
        <x:v>Keep heels down and chest tall.</x:v>
      </x:c>
      <x:c r="E17" s="24" t="str">
        <x:v>Squat to a chair.</x:v>
      </x:c>
      <x:c r="F17" s="25" t="str">
        <x:v>Hold light weights or add tempo.</x:v>
      </x:c>
      <x:c r="G17" s="1"/>
      <x:c r="H17" s="1"/>
      <x:c r="I17" s="1"/>
      <x:c r="J17" s="1"/>
      <x:c r="K17" s="1"/>
    </x:row>
    <x:row r="18" ht="82" customHeight="1">
      <x:c r="A18" s="23" t="str">
        <x:v>Squat Thrust</x:v>
      </x:c>
      <x:c r="B18" s="24" t="str">
        <x:v>Stand, then place hands on floor.</x:v>
      </x:c>
      <x:c r="C18" s="24" t="str">
        <x:v>Step or hop feet back to plank, step or hop forward, stand.</x:v>
      </x:c>
      <x:c r="D18" s="24" t="str">
        <x:v>Keep shoulders stable and feet landing under hips.</x:v>
      </x:c>
      <x:c r="E18" s="24" t="str">
        <x:v>Step one foot at a time.</x:v>
      </x:c>
      <x:c r="F18" s="25" t="str">
        <x:v>Add a jump at the top.</x:v>
      </x:c>
      <x:c r="G18" s="1"/>
      <x:c r="H18" s="1"/>
      <x:c r="I18" s="1"/>
      <x:c r="J18" s="1"/>
      <x:c r="K18" s="1"/>
    </x:row>
    <x:row r="19" ht="82" customHeight="1">
      <x:c r="A19" s="23" t="str">
        <x:v>Skater Squat</x:v>
      </x:c>
      <x:c r="B19" s="24" t="str">
        <x:v>Stand tall with room to step diagonally back.</x:v>
      </x:c>
      <x:c r="C19" s="24" t="str">
        <x:v>Step one leg behind and across, bend the front knee, return, alternate.</x:v>
      </x:c>
      <x:c r="D19" s="24" t="str">
        <x:v>Front knee tracks over toes. Keep the step small if balance is tricky.</x:v>
      </x:c>
      <x:c r="E19" s="24" t="str">
        <x:v>Tap back without going deep.</x:v>
      </x:c>
      <x:c r="F19" s="25" t="str">
        <x:v>Add a reach toward the floor.</x:v>
      </x:c>
      <x:c r="G19" s="1"/>
      <x:c r="H19" s="1"/>
      <x:c r="I19" s="1"/>
      <x:c r="J19" s="1"/>
      <x:c r="K19" s="1"/>
    </x:row>
    <x:row r="20" ht="82" customHeight="1">
      <x:c r="A20" s="23" t="str">
        <x:v>Wide-Stance Calf Raise</x:v>
      </x:c>
      <x:c r="B20" s="24" t="str">
        <x:v>Feet a bit wider than hips, hold wall if needed.</x:v>
      </x:c>
      <x:c r="C20" s="24" t="str">
        <x:v>Rise onto toes, pause, lower heels slowly.</x:v>
      </x:c>
      <x:c r="D20" s="24" t="str">
        <x:v>Do not roll ankles outward.</x:v>
      </x:c>
      <x:c r="E20" s="24" t="str">
        <x:v>Use both hands for support.</x:v>
      </x:c>
      <x:c r="F20" s="25" t="str">
        <x:v>Pause 2 seconds at the top.</x:v>
      </x:c>
      <x:c r="G20" s="1"/>
      <x:c r="H20" s="1"/>
      <x:c r="I20" s="1"/>
      <x:c r="J20" s="1"/>
      <x:c r="K20" s="1"/>
    </x:row>
    <x:row r="21" ht="82" customHeight="1">
      <x:c r="A21" s="23" t="str">
        <x:v>Elbow Walkout</x:v>
      </x:c>
      <x:c r="B21" s="24" t="str">
        <x:v>Start standing or kneeling.</x:v>
      </x:c>
      <x:c r="C21" s="24" t="str">
        <x:v>Walk hands out toward plank, lower to forearms if comfortable, then walk back.</x:v>
      </x:c>
      <x:c r="D21" s="24" t="str">
        <x:v>Move only as far as you can control your trunk.</x:v>
      </x:c>
      <x:c r="E21" s="24" t="str">
        <x:v>Do it from knees or on an incline.</x:v>
      </x:c>
      <x:c r="F21" s="25" t="str">
        <x:v>Add a push-up at full plank.</x:v>
      </x:c>
      <x:c r="G21" s="1"/>
      <x:c r="H21" s="1"/>
      <x:c r="I21" s="1"/>
      <x:c r="J21" s="1"/>
      <x:c r="K21" s="1"/>
    </x:row>
    <x:row r="22" ht="82" customHeight="1">
      <x:c r="A22" s="23" t="str">
        <x:v>Good Morning / Hip Hinge</x:v>
      </x:c>
      <x:c r="B22" s="24" t="str">
        <x:v>Feet hip-width, hands behind head or across chest.</x:v>
      </x:c>
      <x:c r="C22" s="24" t="str">
        <x:v>Push hips back with soft knees, keep back flat, stand by squeezing glutes.</x:v>
      </x:c>
      <x:c r="D22" s="24" t="str">
        <x:v>This is not a squat. Hips move back first.</x:v>
      </x:c>
      <x:c r="E22" s="24" t="str">
        <x:v>Reduce depth.</x:v>
      </x:c>
      <x:c r="F22" s="25" t="str">
        <x:v>Hold a light object at chest.</x:v>
      </x:c>
      <x:c r="G22" s="1"/>
      <x:c r="H22" s="1"/>
      <x:c r="I22" s="1"/>
      <x:c r="J22" s="1"/>
      <x:c r="K22" s="1"/>
    </x:row>
    <x:row r="23" ht="82" customHeight="1">
      <x:c r="A23" s="23" t="str">
        <x:v>Sit-Up or Crunch</x:v>
      </x:c>
      <x:c r="B23" s="24" t="str">
        <x:v>Lie on back, knees bent.</x:v>
      </x:c>
      <x:c r="C23" s="24" t="str">
        <x:v>For crunch: lift shoulder blades. For sit-up: come higher without yanking neck.</x:v>
      </x:c>
      <x:c r="D23" s="24" t="str">
        <x:v>Keep neck relaxed and exhale as you lift.</x:v>
      </x:c>
      <x:c r="E23" s="24" t="str">
        <x:v>Do crunches only.</x:v>
      </x:c>
      <x:c r="F23" s="25" t="str">
        <x:v>Slow the lowering phase.</x:v>
      </x:c>
      <x:c r="G23" s="1"/>
      <x:c r="H23" s="1"/>
      <x:c r="I23" s="1"/>
      <x:c r="J23" s="1"/>
      <x:c r="K23" s="1"/>
    </x:row>
    <x:row r="24" ht="82" customHeight="1">
      <x:c r="A24" s="23" t="str">
        <x:v>Bent-Knee Leg Raise</x:v>
      </x:c>
      <x:c r="B24" s="24" t="str">
        <x:v>Lie on back, knees bent about 90 degrees.</x:v>
      </x:c>
      <x:c r="C24" s="24" t="str">
        <x:v>Lift knees toward chest, then lower until feet nearly touch.</x:v>
      </x:c>
      <x:c r="D24" s="24" t="str">
        <x:v>Keep low back from arching.</x:v>
      </x:c>
      <x:c r="E24" s="24" t="str">
        <x:v>Lower one foot at a time.</x:v>
      </x:c>
      <x:c r="F24" s="25" t="str">
        <x:v>Straighten legs more.</x:v>
      </x:c>
      <x:c r="G24" s="1"/>
      <x:c r="H24" s="1"/>
      <x:c r="I24" s="1"/>
      <x:c r="J24" s="1"/>
      <x:c r="K24" s="1"/>
    </x:row>
    <x:row r="25" ht="82" customHeight="1">
      <x:c r="A25" s="23" t="str">
        <x:v>Inverted Row</x:v>
      </x:c>
      <x:c r="B25" s="24" t="str">
        <x:v>Use a sturdy low bar, table edge, or straps.</x:v>
      </x:c>
      <x:c r="C25" s="24" t="str">
        <x:v>Hang with body straight, pull chest toward support, lower slowly.</x:v>
      </x:c>
      <x:c r="D25" s="24" t="str">
        <x:v>Support must be stable. Squeeze shoulder blades.</x:v>
      </x:c>
      <x:c r="E25" s="24" t="str">
        <x:v>Bend knees and keep feet closer.</x:v>
      </x:c>
      <x:c r="F25" s="25" t="str">
        <x:v>Straighten legs or elevate feet.</x:v>
      </x:c>
      <x:c r="G25" s="1"/>
      <x:c r="H25" s="1"/>
      <x:c r="I25" s="1"/>
      <x:c r="J25" s="1"/>
      <x:c r="K25" s="1"/>
    </x:row>
    <x:row r="26" ht="82" customHeight="1">
      <x:c r="A26" s="23" t="str">
        <x:v>Side Lunge</x:v>
      </x:c>
      <x:c r="B26" s="24" t="str">
        <x:v>Stand wide or step to the side.</x:v>
      </x:c>
      <x:c r="C26" s="24" t="str">
        <x:v>Bend one knee and sit hips back while other leg stays straighter. Return to center.</x:v>
      </x:c>
      <x:c r="D26" s="24" t="str">
        <x:v>Keep bent knee aligned with toes.</x:v>
      </x:c>
      <x:c r="E26" s="24" t="str">
        <x:v>Use smaller range.</x:v>
      </x:c>
      <x:c r="F26" s="25" t="str">
        <x:v>Add a pause at the bottom.</x:v>
      </x:c>
      <x:c r="G26" s="1"/>
      <x:c r="H26" s="1"/>
      <x:c r="I26" s="1"/>
      <x:c r="J26" s="1"/>
      <x:c r="K26" s="1"/>
    </x:row>
    <x:row r="27" ht="82" customHeight="1">
      <x:c r="A27" s="23" t="str">
        <x:v>Walking Lunge</x:v>
      </x:c>
      <x:c r="B27" s="24" t="str">
        <x:v>Stand tall with room ahead.</x:v>
      </x:c>
      <x:c r="C27" s="24" t="str">
        <x:v>Step forward, lower under control, push through front foot, alternate.</x:v>
      </x:c>
      <x:c r="D27" s="24" t="str">
        <x:v>Keep torso tall. Use a wall for balance if needed.</x:v>
      </x:c>
      <x:c r="E27" s="24" t="str">
        <x:v>Use reverse lunges or split squats.</x:v>
      </x:c>
      <x:c r="F27" s="25" t="str">
        <x:v>Add slow tempo or light weights.</x:v>
      </x:c>
      <x:c r="G27" s="1"/>
      <x:c r="H27" s="1"/>
      <x:c r="I27" s="1"/>
      <x:c r="J27" s="1"/>
      <x:c r="K27" s="1"/>
    </x:row>
    <x:row r="28" ht="82" customHeight="1">
      <x:c r="A28" s="26" t="str">
        <x:v>Plank Shoulder Tap</x:v>
      </x:c>
      <x:c r="B28" s="27" t="str">
        <x:v>High plank, feet wider for stability.</x:v>
      </x:c>
      <x:c r="C28" s="27" t="str">
        <x:v>Tap opposite shoulder, set hand down, alternate sides.</x:v>
      </x:c>
      <x:c r="D28" s="27" t="str">
        <x:v>Hips should not rock side to side.</x:v>
      </x:c>
      <x:c r="E28" s="27" t="str">
        <x:v>Do it from knees or hands on a bench.</x:v>
      </x:c>
      <x:c r="F28" s="28" t="str">
        <x:v>Bring feet closer together.</x:v>
      </x:c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6" customHeight="1">
      <x:c r="A1" s="4" t="str">
        <x:v>Visual Examples</x:v>
      </x:c>
      <x:c r="B1" s="4" t="str">
        <x:v>Visual Examples</x:v>
      </x:c>
      <x:c r="C1" s="4" t="str">
        <x:v>Visual Examples</x:v>
      </x:c>
      <x:c r="D1" s="4" t="str">
        <x:v>Visual Examples</x:v>
      </x:c>
      <x:c r="E1" s="4" t="str">
        <x:v>Visual Examples</x:v>
      </x:c>
      <x:c r="F1" s="4" t="str">
        <x:v>Visual Examples</x:v>
      </x:c>
      <x:c r="G1" s="4" t="str">
        <x:v>Visual Examples</x:v>
      </x:c>
      <x:c r="H1" s="4" t="str">
        <x:v>Visual Examples</x:v>
      </x:c>
      <x:c r="I1" s="4" t="str">
        <x:v>Visual Examples</x:v>
      </x:c>
      <x:c r="J1" s="4" t="str">
        <x:v>Visual Examples</x:v>
      </x:c>
      <x:c r="K1" s="4" t="str">
        <x:v>Visual Examples</x:v>
      </x:c>
      <x:c r="L1" s="4" t="str">
        <x:v>Visual Examples</x:v>
      </x:c>
      <x:c r="M1" s="4" t="str">
        <x:v>Visual Examples</x:v>
      </x:c>
      <x:c r="N1" s="4" t="str">
        <x:v>Visual Examples</x:v>
      </x:c>
    </x:row>
    <x:row r="2" ht="30" customHeight="1">
      <x:c r="A2" s="7" t="str">
        <x:v>Simple cue-card drawings for the main movement families in the plan. Use these with the Exercise Guide tab.</x:v>
      </x:c>
      <x:c r="B2" s="7" t="str">
        <x:v>Simple cue-card drawings for the main movement families in the plan. Use these with the Exercise Guide tab.</x:v>
      </x:c>
      <x:c r="C2" s="7" t="str">
        <x:v>Simple cue-card drawings for the main movement families in the plan. Use these with the Exercise Guide tab.</x:v>
      </x:c>
      <x:c r="D2" s="7" t="str">
        <x:v>Simple cue-card drawings for the main movement families in the plan. Use these with the Exercise Guide tab.</x:v>
      </x:c>
      <x:c r="E2" s="7" t="str">
        <x:v>Simple cue-card drawings for the main movement families in the plan. Use these with the Exercise Guide tab.</x:v>
      </x:c>
      <x:c r="F2" s="7" t="str">
        <x:v>Simple cue-card drawings for the main movement families in the plan. Use these with the Exercise Guide tab.</x:v>
      </x:c>
      <x:c r="G2" s="7" t="str">
        <x:v>Simple cue-card drawings for the main movement families in the plan. Use these with the Exercise Guide tab.</x:v>
      </x:c>
      <x:c r="H2" s="7" t="str">
        <x:v>Simple cue-card drawings for the main movement families in the plan. Use these with the Exercise Guide tab.</x:v>
      </x:c>
      <x:c r="I2" s="7" t="str">
        <x:v>Simple cue-card drawings for the main movement families in the plan. Use these with the Exercise Guide tab.</x:v>
      </x:c>
      <x:c r="J2" s="7" t="str">
        <x:v>Simple cue-card drawings for the main movement families in the plan. Use these with the Exercise Guide tab.</x:v>
      </x:c>
      <x:c r="K2" s="7" t="str">
        <x:v>Simple cue-card drawings for the main movement families in the plan. Use these with the Exercise Guide tab.</x:v>
      </x:c>
      <x:c r="L2" s="7" t="str">
        <x:v>Simple cue-card drawings for the main movement families in the plan. Use these with the Exercise Guide tab.</x:v>
      </x:c>
      <x:c r="M2" s="7" t="str">
        <x:v>Simple cue-card drawings for the main movement families in the plan. Use these with the Exercise Guide tab.</x:v>
      </x:c>
      <x:c r="N2" s="7" t="str">
        <x:v>Simple cue-card drawings for the main movement families in the plan. Use these with the Exercise Guide tab.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0" t="str">
        <x:v>Form Cue Cards</x:v>
      </x:c>
      <x:c r="B4" s="10" t="str">
        <x:v>Form Cue Cards</x:v>
      </x:c>
      <x:c r="C4" s="10" t="str">
        <x:v>Form Cue Cards</x:v>
      </x:c>
      <x:c r="D4" s="10" t="str">
        <x:v>Form Cue Cards</x:v>
      </x:c>
      <x:c r="E4" s="10" t="str">
        <x:v>Form Cue Cards</x:v>
      </x:c>
      <x:c r="F4" s="10" t="str">
        <x:v>Form Cue Cards</x:v>
      </x:c>
      <x:c r="G4" s="10" t="str">
        <x:v>Form Cue Cards</x:v>
      </x:c>
      <x:c r="H4" s="10" t="str">
        <x:v>Form Cue Cards</x:v>
      </x:c>
      <x:c r="I4" s="10" t="str">
        <x:v>Form Cue Cards</x:v>
      </x:c>
      <x:c r="J4" s="10" t="str">
        <x:v>Form Cue Cards</x:v>
      </x:c>
      <x:c r="K4" s="10" t="str">
        <x:v>Form Cue Cards</x:v>
      </x:c>
      <x:c r="L4" s="75" t="str">
        <x:v>Form Cue Cards</x:v>
      </x:c>
      <x:c r="M4" s="75" t="str">
        <x:v>Form Cue Cards</x:v>
      </x:c>
      <x:c r="N4" s="75" t="str">
        <x:v>Form Cue Cards</x:v>
      </x:c>
    </x:row>
    <x:row r="5" ht="22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76"/>
      <x:c r="M5" s="76"/>
      <x:c r="N5" s="76"/>
    </x:row>
    <x:row r="6" ht="22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76"/>
      <x:c r="M6" s="76"/>
      <x:c r="N6" s="76"/>
    </x:row>
    <x:row r="7" ht="22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76"/>
      <x:c r="M7" s="76"/>
      <x:c r="N7" s="76"/>
    </x:row>
    <x:row r="8" ht="22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76"/>
      <x:c r="M8" s="76"/>
      <x:c r="N8" s="76"/>
    </x:row>
    <x:row r="9" ht="22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76"/>
      <x:c r="M9" s="76"/>
      <x:c r="N9" s="76"/>
    </x:row>
    <x:row r="10" ht="22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76"/>
      <x:c r="M10" s="76"/>
      <x:c r="N10" s="76"/>
    </x:row>
    <x:row r="11" ht="22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76"/>
      <x:c r="M11" s="76"/>
      <x:c r="N11" s="76"/>
    </x:row>
    <x:row r="12" ht="22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76"/>
      <x:c r="M12" s="76"/>
      <x:c r="N12" s="76"/>
    </x:row>
    <x:row r="13" ht="22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76"/>
      <x:c r="M13" s="76"/>
      <x:c r="N13" s="76"/>
    </x:row>
    <x:row r="14" ht="22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76"/>
      <x:c r="M14" s="76"/>
      <x:c r="N14" s="76"/>
    </x:row>
    <x:row r="15" ht="22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76"/>
      <x:c r="M15" s="76"/>
      <x:c r="N15" s="76"/>
    </x:row>
    <x:row r="16" ht="22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76"/>
      <x:c r="M16" s="76"/>
      <x:c r="N16" s="76"/>
    </x:row>
    <x:row r="17" ht="22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76"/>
      <x:c r="M17" s="76"/>
      <x:c r="N17" s="76"/>
    </x:row>
    <x:row r="18" ht="22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76"/>
      <x:c r="M18" s="76"/>
      <x:c r="N18" s="76"/>
    </x:row>
    <x:row r="19" ht="22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76"/>
      <x:c r="M19" s="76"/>
      <x:c r="N19" s="76"/>
    </x:row>
    <x:row r="20" ht="22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76"/>
      <x:c r="M20" s="76"/>
      <x:c r="N20" s="76"/>
    </x:row>
    <x:row r="21" ht="22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76"/>
      <x:c r="M21" s="76"/>
      <x:c r="N21" s="76"/>
    </x:row>
    <x:row r="22" ht="22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76"/>
      <x:c r="M22" s="76"/>
      <x:c r="N22" s="76"/>
    </x:row>
    <x:row r="23" ht="22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76"/>
      <x:c r="M23" s="76"/>
      <x:c r="N23" s="76"/>
    </x:row>
    <x:row r="24" ht="22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76"/>
      <x:c r="M24" s="76"/>
      <x:c r="N24" s="76"/>
    </x:row>
    <x:row r="25" ht="22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76"/>
      <x:c r="M25" s="76"/>
      <x:c r="N25" s="76"/>
    </x:row>
    <x:row r="26" ht="22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76"/>
      <x:c r="M26" s="76"/>
      <x:c r="N26" s="76"/>
    </x:row>
    <x:row r="27" ht="22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76"/>
      <x:c r="M27" s="76"/>
      <x:c r="N27" s="76"/>
    </x:row>
    <x:row r="28" ht="22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76"/>
      <x:c r="M28" s="76"/>
      <x:c r="N28" s="76"/>
    </x:row>
    <x:row r="29" ht="22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76"/>
      <x:c r="M29" s="76"/>
      <x:c r="N29" s="76"/>
    </x:row>
    <x:row r="30" ht="22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76"/>
      <x:c r="M30" s="76"/>
      <x:c r="N30" s="76"/>
    </x:row>
    <x:row r="31" ht="22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76"/>
      <x:c r="M31" s="76"/>
      <x:c r="N31" s="76"/>
    </x:row>
    <x:row r="32" ht="22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76"/>
      <x:c r="M32" s="76"/>
      <x:c r="N32" s="76"/>
    </x:row>
    <x:row r="33" ht="22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76"/>
      <x:c r="M33" s="76"/>
      <x:c r="N33" s="76"/>
    </x:row>
    <x:row r="34" ht="22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76"/>
      <x:c r="M34" s="76"/>
      <x:c r="N34" s="76"/>
    </x:row>
    <x:row r="35" ht="22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76"/>
      <x:c r="M35" s="76"/>
      <x:c r="N35" s="76"/>
    </x:row>
    <x:row r="36" ht="22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76"/>
      <x:c r="M36" s="76"/>
      <x:c r="N36" s="76"/>
    </x:row>
    <x:row r="37" ht="22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76"/>
      <x:c r="M37" s="76"/>
      <x:c r="N37" s="76"/>
    </x:row>
    <x:row r="38" ht="22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76"/>
      <x:c r="M38" s="76"/>
      <x:c r="N38" s="76"/>
    </x:row>
    <x:row r="39" ht="22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76"/>
      <x:c r="M39" s="76"/>
      <x:c r="N39" s="76"/>
    </x:row>
    <x:row r="40" ht="22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76"/>
      <x:c r="M40" s="76"/>
      <x:c r="N40" s="76"/>
    </x:row>
    <x:row r="41" ht="22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76"/>
      <x:c r="M41" s="76"/>
      <x:c r="N41" s="76"/>
    </x:row>
    <x:row r="42" ht="22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76"/>
      <x:c r="M42" s="76"/>
      <x:c r="N42" s="76"/>
    </x:row>
    <x:row r="43" ht="22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76"/>
      <x:c r="M43" s="76"/>
      <x:c r="N43" s="76"/>
    </x:row>
    <x:row r="44" ht="22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76"/>
      <x:c r="M44" s="76"/>
      <x:c r="N44" s="76"/>
    </x:row>
    <x:row r="45" ht="22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76"/>
      <x:c r="M45" s="76"/>
      <x:c r="N45" s="76"/>
    </x:row>
    <x:row r="46" ht="22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76"/>
      <x:c r="M46" s="76"/>
      <x:c r="N46" s="76"/>
    </x:row>
    <x:row r="47" ht="22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76"/>
      <x:c r="M47" s="76"/>
      <x:c r="N47" s="76"/>
    </x:row>
    <x:row r="48" ht="22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76"/>
      <x:c r="M48" s="76"/>
      <x:c r="N48" s="76"/>
    </x:row>
    <x:row r="49" ht="22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76"/>
      <x:c r="M49" s="76"/>
      <x:c r="N49" s="76"/>
    </x:row>
    <x:row r="50" ht="22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76"/>
      <x:c r="M50" s="76"/>
      <x:c r="N50" s="76"/>
    </x:row>
    <x:row r="51" ht="22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76"/>
      <x:c r="M51" s="76"/>
      <x:c r="N51" s="76"/>
    </x:row>
    <x:row r="52" ht="22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76"/>
      <x:c r="M52" s="76"/>
      <x:c r="N52" s="76"/>
    </x:row>
    <x:row r="53" ht="22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76"/>
      <x:c r="M53" s="76"/>
      <x:c r="N53" s="76"/>
    </x:row>
    <x:row r="54" ht="22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76"/>
      <x:c r="M54" s="76"/>
      <x:c r="N54" s="76"/>
    </x:row>
    <x:row r="55" ht="22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76"/>
      <x:c r="M55" s="76"/>
      <x:c r="N55" s="76"/>
    </x:row>
    <x:row r="56" ht="22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76"/>
      <x:c r="M56" s="76"/>
      <x:c r="N56" s="76"/>
    </x:row>
    <x:row r="57" ht="22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76"/>
      <x:c r="M57" s="76"/>
      <x:c r="N57" s="76"/>
    </x:row>
    <x:row r="58" ht="22" customHeight="1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76"/>
      <x:c r="M58" s="76"/>
      <x:c r="N58" s="76"/>
    </x:row>
    <x:row r="59" ht="22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76"/>
      <x:c r="M59" s="76"/>
      <x:c r="N59" s="76"/>
    </x:row>
    <x:row r="60" ht="22" customHeight="1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76"/>
      <x:c r="M60" s="76"/>
      <x:c r="N60" s="76"/>
    </x:row>
    <x:row r="61" ht="22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76"/>
      <x:c r="M61" s="76"/>
      <x:c r="N61" s="76"/>
    </x:row>
    <x:row r="62" ht="22" customHeight="1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76"/>
      <x:c r="M62" s="76"/>
      <x:c r="N62" s="76"/>
    </x:row>
    <x:row r="63" ht="22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76"/>
      <x:c r="M63" s="76"/>
      <x:c r="N63" s="76"/>
    </x:row>
    <x:row r="64" ht="22" customHeight="1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76"/>
      <x:c r="M64" s="76"/>
      <x:c r="N64" s="76"/>
    </x:row>
    <x:row r="65" ht="22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76"/>
      <x:c r="M65" s="76"/>
      <x:c r="N65" s="76"/>
    </x:row>
    <x:row r="66" ht="22" customHeight="1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76"/>
      <x:c r="M66" s="76"/>
      <x:c r="N66" s="76"/>
    </x:row>
    <x:row r="67" ht="22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76"/>
      <x:c r="M67" s="76"/>
      <x:c r="N67" s="76"/>
    </x:row>
    <x:row r="68" ht="22" customHeight="1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76"/>
      <x:c r="M68" s="76"/>
      <x:c r="N68" s="76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N1"/>
    <x:mergeCell ref="A2:N2"/>
    <x:mergeCell ref="A4:N4"/>
  </x:mergeCells>
  <x:pageMargins left="0.7" right="0.7" top="0.75" bottom="0.75" header="0.3" footer="0.3"/>
  <x:drawing xmlns:r="http://schemas.openxmlformats.org/officeDocument/2006/relationships" r:id="R22e139229efb40cb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22" hidden="0" customWidth="1"/>
    <x:col min="5" max="5" width="20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44" hidden="0" customWidth="1"/>
    <x:col min="11" max="11" width="26" hidden="0" customWidth="1"/>
  </x:cols>
  <x:sheetData>
    <x:row r="1" ht="36" customHeight="1">
      <x:c r="A1" s="4" t="str">
        <x:v>4-Week Accountability Tracker</x:v>
      </x:c>
      <x:c r="B1" s="4" t="str">
        <x:v>4-Week Accountability Tracker</x:v>
      </x:c>
      <x:c r="C1" s="4" t="str">
        <x:v>4-Week Accountability Tracker</x:v>
      </x:c>
      <x:c r="D1" s="4" t="str">
        <x:v>4-Week Accountability Tracker</x:v>
      </x:c>
      <x:c r="E1" s="4" t="str">
        <x:v>4-Week Accountability Tracker</x:v>
      </x:c>
      <x:c r="F1" s="4" t="str">
        <x:v>4-Week Accountability Tracker</x:v>
      </x:c>
      <x:c r="G1" s="4" t="str">
        <x:v>4-Week Accountability Tracker</x:v>
      </x:c>
      <x:c r="H1" s="4" t="str">
        <x:v>4-Week Accountability Tracker</x:v>
      </x:c>
      <x:c r="I1" s="4" t="str">
        <x:v>4-Week Accountability Tracker</x:v>
      </x:c>
      <x:c r="J1" s="4" t="str">
        <x:v>4-Week Accountability Tracker</x:v>
      </x:c>
      <x:c r="K1" s="4" t="str">
        <x:v>4-Week Accountability Tracker</x:v>
      </x:c>
    </x:row>
    <x:row r="2" ht="30" customHeight="1">
      <x:c r="A2" s="7" t="str">
        <x:v>Fill in status, rounds, effort, minutes, and one note. Partial counts because consistency beats all-or-nothing thinking.</x:v>
      </x:c>
      <x:c r="B2" s="7" t="str">
        <x:v>Fill in status, rounds, effort, minutes, and one note. Partial counts because consistency beats all-or-nothing thinking.</x:v>
      </x:c>
      <x:c r="C2" s="7" t="str">
        <x:v>Fill in status, rounds, effort, minutes, and one note. Partial counts because consistency beats all-or-nothing thinking.</x:v>
      </x:c>
      <x:c r="D2" s="7" t="str">
        <x:v>Fill in status, rounds, effort, minutes, and one note. Partial counts because consistency beats all-or-nothing thinking.</x:v>
      </x:c>
      <x:c r="E2" s="7" t="str">
        <x:v>Fill in status, rounds, effort, minutes, and one note. Partial counts because consistency beats all-or-nothing thinking.</x:v>
      </x:c>
      <x:c r="F2" s="7" t="str">
        <x:v>Fill in status, rounds, effort, minutes, and one note. Partial counts because consistency beats all-or-nothing thinking.</x:v>
      </x:c>
      <x:c r="G2" s="7" t="str">
        <x:v>Fill in status, rounds, effort, minutes, and one note. Partial counts because consistency beats all-or-nothing thinking.</x:v>
      </x:c>
      <x:c r="H2" s="7" t="str">
        <x:v>Fill in status, rounds, effort, minutes, and one note. Partial counts because consistency beats all-or-nothing thinking.</x:v>
      </x:c>
      <x:c r="I2" s="7" t="str">
        <x:v>Fill in status, rounds, effort, minutes, and one note. Partial counts because consistency beats all-or-nothing thinking.</x:v>
      </x:c>
      <x:c r="J2" s="7" t="str">
        <x:v>Fill in status, rounds, effort, minutes, and one note. Partial counts because consistency beats all-or-nothing thinking.</x:v>
      </x:c>
      <x:c r="K2" s="7" t="str">
        <x:v>Fill in status, rounds, effort, minutes, and one note. Partial counts because consistency beats all-or-nothing thinking.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81" t="str">
        <x:v>Week</x:v>
      </x:c>
      <x:c r="B4" s="82" t="str">
        <x:v>Day</x:v>
      </x:c>
      <x:c r="C4" s="82" t="str">
        <x:v>Date</x:v>
      </x:c>
      <x:c r="D4" s="82" t="str">
        <x:v>Focus</x:v>
      </x:c>
      <x:c r="E4" s="82" t="str">
        <x:v>Workout</x:v>
      </x:c>
      <x:c r="F4" s="82" t="str">
        <x:v>Rounds</x:v>
      </x:c>
      <x:c r="G4" s="82" t="str">
        <x:v>Status</x:v>
      </x:c>
      <x:c r="H4" s="82" t="str">
        <x:v>Effort</x:v>
      </x:c>
      <x:c r="I4" s="82" t="str">
        <x:v>Minutes</x:v>
      </x:c>
      <x:c r="J4" s="82" t="str">
        <x:v>Notes</x:v>
      </x:c>
      <x:c r="K4" s="83" t="str">
        <x:v>Reward / next step</x:v>
      </x:c>
    </x:row>
    <x:row r="5" ht="34" customHeight="1">
      <x:c r="A5" s="20" t="n">
        <x:v>1</x:v>
      </x:c>
      <x:c r="B5" s="21" t="str">
        <x:v>Monday</x:v>
      </x:c>
      <x:c r="C5" s="35" t="n">
        <x:f>'Start Here'!$B$5+0</x:f>
        <x:v>46223</x:v>
      </x:c>
      <x:c r="D5" s="21" t="str">
        <x:v>Upper body + core</x:v>
      </x:c>
      <x:c r="E5" s="21" t="str">
        <x:v>Monday plan</x:v>
      </x:c>
      <x:c r="F5" s="40"/>
      <x:c r="G5" s="21" t="str">
        <x:v>Planned</x:v>
      </x:c>
      <x:c r="H5" s="40"/>
      <x:c r="I5" s="40"/>
      <x:c r="J5" s="21" t="str"/>
      <x:c r="K5" s="22" t="str"/>
      <x:c r="L5"/>
    </x:row>
    <x:row r="6" ht="34" customHeight="1">
      <x:c r="A6" s="23" t="n">
        <x:v>1</x:v>
      </x:c>
      <x:c r="B6" s="24" t="str">
        <x:v>Tuesday</x:v>
      </x:c>
      <x:c r="C6" s="84" t="n">
        <x:f>'Start Here'!$B$5+1</x:f>
        <x:v>46224</x:v>
      </x:c>
      <x:c r="D6" s="24" t="str">
        <x:v>Conditioning + legs</x:v>
      </x:c>
      <x:c r="E6" s="24" t="str">
        <x:v>Tuesday plan</x:v>
      </x:c>
      <x:c r="F6" s="41"/>
      <x:c r="G6" s="24" t="str">
        <x:v>Planned</x:v>
      </x:c>
      <x:c r="H6" s="41"/>
      <x:c r="I6" s="41"/>
      <x:c r="J6" s="24" t="str"/>
      <x:c r="K6" s="25" t="str"/>
      <x:c r="L6"/>
    </x:row>
    <x:row r="7" ht="34" customHeight="1">
      <x:c r="A7" s="23" t="n">
        <x:v>1</x:v>
      </x:c>
      <x:c r="B7" s="24" t="str">
        <x:v>Wednesday</x:v>
      </x:c>
      <x:c r="C7" s="84" t="n">
        <x:f>'Start Here'!$B$5+2</x:f>
        <x:v>46225</x:v>
      </x:c>
      <x:c r="D7" s="24" t="str">
        <x:v>Back + core + legs</x:v>
      </x:c>
      <x:c r="E7" s="24" t="str">
        <x:v>Wednesday plan</x:v>
      </x:c>
      <x:c r="F7" s="41"/>
      <x:c r="G7" s="24" t="str">
        <x:v>Planned</x:v>
      </x:c>
      <x:c r="H7" s="41"/>
      <x:c r="I7" s="41"/>
      <x:c r="J7" s="24" t="str"/>
      <x:c r="K7" s="25" t="str"/>
      <x:c r="L7"/>
    </x:row>
    <x:row r="8" ht="34" customHeight="1">
      <x:c r="A8" s="23" t="n">
        <x:v>2</x:v>
      </x:c>
      <x:c r="B8" s="24" t="str">
        <x:v>Monday</x:v>
      </x:c>
      <x:c r="C8" s="84" t="n">
        <x:f>'Start Here'!$B$5+7</x:f>
        <x:v>46230</x:v>
      </x:c>
      <x:c r="D8" s="24" t="str">
        <x:v>Upper body + core</x:v>
      </x:c>
      <x:c r="E8" s="24" t="str">
        <x:v>Monday plan</x:v>
      </x:c>
      <x:c r="F8" s="41"/>
      <x:c r="G8" s="24" t="str">
        <x:v>Planned</x:v>
      </x:c>
      <x:c r="H8" s="41"/>
      <x:c r="I8" s="41"/>
      <x:c r="J8" s="24" t="str"/>
      <x:c r="K8" s="25" t="str"/>
      <x:c r="L8"/>
    </x:row>
    <x:row r="9" ht="34" customHeight="1">
      <x:c r="A9" s="23" t="n">
        <x:v>2</x:v>
      </x:c>
      <x:c r="B9" s="24" t="str">
        <x:v>Tuesday</x:v>
      </x:c>
      <x:c r="C9" s="84" t="n">
        <x:f>'Start Here'!$B$5+8</x:f>
        <x:v>46231</x:v>
      </x:c>
      <x:c r="D9" s="24" t="str">
        <x:v>Conditioning + legs</x:v>
      </x:c>
      <x:c r="E9" s="24" t="str">
        <x:v>Tuesday plan</x:v>
      </x:c>
      <x:c r="F9" s="41"/>
      <x:c r="G9" s="24" t="str">
        <x:v>Planned</x:v>
      </x:c>
      <x:c r="H9" s="41"/>
      <x:c r="I9" s="41"/>
      <x:c r="J9" s="24" t="str"/>
      <x:c r="K9" s="25" t="str"/>
      <x:c r="L9"/>
    </x:row>
    <x:row r="10" ht="34" customHeight="1">
      <x:c r="A10" s="23" t="n">
        <x:v>2</x:v>
      </x:c>
      <x:c r="B10" s="24" t="str">
        <x:v>Wednesday</x:v>
      </x:c>
      <x:c r="C10" s="84" t="n">
        <x:f>'Start Here'!$B$5+9</x:f>
        <x:v>46232</x:v>
      </x:c>
      <x:c r="D10" s="24" t="str">
        <x:v>Back + core + legs</x:v>
      </x:c>
      <x:c r="E10" s="24" t="str">
        <x:v>Wednesday plan</x:v>
      </x:c>
      <x:c r="F10" s="41"/>
      <x:c r="G10" s="24" t="str">
        <x:v>Planned</x:v>
      </x:c>
      <x:c r="H10" s="41"/>
      <x:c r="I10" s="41"/>
      <x:c r="J10" s="24" t="str"/>
      <x:c r="K10" s="25" t="str"/>
      <x:c r="L10"/>
    </x:row>
    <x:row r="11" ht="34" customHeight="1">
      <x:c r="A11" s="23" t="n">
        <x:v>3</x:v>
      </x:c>
      <x:c r="B11" s="24" t="str">
        <x:v>Monday</x:v>
      </x:c>
      <x:c r="C11" s="84" t="n">
        <x:f>'Start Here'!$B$5+14</x:f>
        <x:v>46237</x:v>
      </x:c>
      <x:c r="D11" s="24" t="str">
        <x:v>Upper body + core</x:v>
      </x:c>
      <x:c r="E11" s="24" t="str">
        <x:v>Monday plan</x:v>
      </x:c>
      <x:c r="F11" s="41"/>
      <x:c r="G11" s="24" t="str">
        <x:v>Planned</x:v>
      </x:c>
      <x:c r="H11" s="41"/>
      <x:c r="I11" s="41"/>
      <x:c r="J11" s="24" t="str"/>
      <x:c r="K11" s="25" t="str"/>
      <x:c r="L11"/>
    </x:row>
    <x:row r="12" ht="34" customHeight="1">
      <x:c r="A12" s="23" t="n">
        <x:v>3</x:v>
      </x:c>
      <x:c r="B12" s="24" t="str">
        <x:v>Tuesday</x:v>
      </x:c>
      <x:c r="C12" s="84" t="n">
        <x:f>'Start Here'!$B$5+15</x:f>
        <x:v>46238</x:v>
      </x:c>
      <x:c r="D12" s="24" t="str">
        <x:v>Conditioning + legs</x:v>
      </x:c>
      <x:c r="E12" s="24" t="str">
        <x:v>Tuesday plan</x:v>
      </x:c>
      <x:c r="F12" s="41"/>
      <x:c r="G12" s="24" t="str">
        <x:v>Planned</x:v>
      </x:c>
      <x:c r="H12" s="41"/>
      <x:c r="I12" s="41"/>
      <x:c r="J12" s="24" t="str"/>
      <x:c r="K12" s="25" t="str"/>
      <x:c r="L12"/>
    </x:row>
    <x:row r="13" ht="34" customHeight="1">
      <x:c r="A13" s="23" t="n">
        <x:v>3</x:v>
      </x:c>
      <x:c r="B13" s="24" t="str">
        <x:v>Wednesday</x:v>
      </x:c>
      <x:c r="C13" s="84" t="n">
        <x:f>'Start Here'!$B$5+16</x:f>
        <x:v>46239</x:v>
      </x:c>
      <x:c r="D13" s="24" t="str">
        <x:v>Back + core + legs</x:v>
      </x:c>
      <x:c r="E13" s="24" t="str">
        <x:v>Wednesday plan</x:v>
      </x:c>
      <x:c r="F13" s="41"/>
      <x:c r="G13" s="24" t="str">
        <x:v>Planned</x:v>
      </x:c>
      <x:c r="H13" s="41"/>
      <x:c r="I13" s="41"/>
      <x:c r="J13" s="24" t="str"/>
      <x:c r="K13" s="25" t="str"/>
      <x:c r="L13"/>
    </x:row>
    <x:row r="14" ht="34" customHeight="1">
      <x:c r="A14" s="23" t="n">
        <x:v>4</x:v>
      </x:c>
      <x:c r="B14" s="24" t="str">
        <x:v>Monday</x:v>
      </x:c>
      <x:c r="C14" s="84" t="n">
        <x:f>'Start Here'!$B$5+21</x:f>
        <x:v>46244</x:v>
      </x:c>
      <x:c r="D14" s="24" t="str">
        <x:v>Upper body + core</x:v>
      </x:c>
      <x:c r="E14" s="24" t="str">
        <x:v>Monday plan</x:v>
      </x:c>
      <x:c r="F14" s="41"/>
      <x:c r="G14" s="24" t="str">
        <x:v>Planned</x:v>
      </x:c>
      <x:c r="H14" s="41"/>
      <x:c r="I14" s="41"/>
      <x:c r="J14" s="24" t="str"/>
      <x:c r="K14" s="25" t="str"/>
      <x:c r="L14"/>
    </x:row>
    <x:row r="15" ht="34" customHeight="1">
      <x:c r="A15" s="23" t="n">
        <x:v>4</x:v>
      </x:c>
      <x:c r="B15" s="24" t="str">
        <x:v>Tuesday</x:v>
      </x:c>
      <x:c r="C15" s="84" t="n">
        <x:f>'Start Here'!$B$5+22</x:f>
        <x:v>46245</x:v>
      </x:c>
      <x:c r="D15" s="24" t="str">
        <x:v>Conditioning + legs</x:v>
      </x:c>
      <x:c r="E15" s="24" t="str">
        <x:v>Tuesday plan</x:v>
      </x:c>
      <x:c r="F15" s="41"/>
      <x:c r="G15" s="24" t="str">
        <x:v>Planned</x:v>
      </x:c>
      <x:c r="H15" s="41"/>
      <x:c r="I15" s="41"/>
      <x:c r="J15" s="24" t="str"/>
      <x:c r="K15" s="25" t="str"/>
      <x:c r="L15"/>
    </x:row>
    <x:row r="16" ht="34" customHeight="1">
      <x:c r="A16" s="26" t="n">
        <x:v>4</x:v>
      </x:c>
      <x:c r="B16" s="27" t="str">
        <x:v>Wednesday</x:v>
      </x:c>
      <x:c r="C16" s="85" t="n">
        <x:f>'Start Here'!$B$5+23</x:f>
        <x:v>46246</x:v>
      </x:c>
      <x:c r="D16" s="27" t="str">
        <x:v>Back + core + legs</x:v>
      </x:c>
      <x:c r="E16" s="27" t="str">
        <x:v>Wednesday plan</x:v>
      </x:c>
      <x:c r="F16" s="43"/>
      <x:c r="G16" s="27" t="str">
        <x:v>Planned</x:v>
      </x:c>
      <x:c r="H16" s="43"/>
      <x:c r="I16" s="43"/>
      <x:c r="J16" s="27" t="str"/>
      <x:c r="K16" s="28" t="str"/>
      <x:c r="L16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4" customHeight="1">
      <x:c r="A19" s="10" t="str">
        <x:v>Quick Review</x:v>
      </x:c>
      <x:c r="B19" s="10" t="str">
        <x:v>Quick Review</x:v>
      </x:c>
      <x:c r="C19" s="10" t="str">
        <x:v>Quick Review</x:v>
      </x:c>
      <x:c r="D19" s="10" t="str">
        <x:v>Quick Review</x:v>
      </x:c>
      <x:c r="E19" s="10" t="str">
        <x:v>Quick Review</x:v>
      </x:c>
      <x:c r="F19" s="10" t="str">
        <x:v>Quick Review</x:v>
      </x:c>
      <x:c r="G19" s="10" t="str">
        <x:v>Quick Review</x:v>
      </x:c>
      <x:c r="H19" s="10" t="str">
        <x:v>Quick Review</x:v>
      </x:c>
      <x:c r="I19" s="10" t="str">
        <x:v>Quick Review</x:v>
      </x:c>
      <x:c r="J19" s="10" t="str">
        <x:v>Quick Review</x:v>
      </x:c>
      <x:c r="K19" s="10" t="str">
        <x:v>Quick Review</x:v>
      </x:c>
    </x:row>
    <x:row r="20" ht="34" customHeight="1">
      <x:c r="A20" s="50" t="str">
        <x:v>Best week</x:v>
      </x:c>
      <x:c r="B20" s="21" t="str">
        <x:v>Look for the week where you showed up most consistently.</x:v>
      </x:c>
      <x:c r="C20" s="21"/>
      <x:c r="D20" s="21"/>
      <x:c r="E20" s="21"/>
      <x:c r="F20" s="21"/>
      <x:c r="G20" s="21"/>
      <x:c r="H20" s="21"/>
      <x:c r="I20" s="21"/>
      <x:c r="J20" s="21"/>
      <x:c r="K20" s="22"/>
    </x:row>
    <x:row r="21" ht="34" customHeight="1">
      <x:c r="A21" s="51" t="str">
        <x:v>Pattern to notice</x:v>
      </x:c>
      <x:c r="B21" s="24" t="str">
        <x:v>What time of day made workouts easiest to complete?</x:v>
      </x:c>
      <x:c r="C21" s="24"/>
      <x:c r="D21" s="24"/>
      <x:c r="E21" s="24"/>
      <x:c r="F21" s="24"/>
      <x:c r="G21" s="24"/>
      <x:c r="H21" s="24"/>
      <x:c r="I21" s="24"/>
      <x:c r="J21" s="24"/>
      <x:c r="K21" s="25"/>
    </x:row>
    <x:row r="22" ht="34" customHeight="1">
      <x:c r="A22" s="51" t="str">
        <x:v>Common blocker</x:v>
      </x:c>
      <x:c r="B22" s="24" t="str">
        <x:v>Use Notes to spot the reason sessions get missed.</x:v>
      </x:c>
      <x:c r="C22" s="24"/>
      <x:c r="D22" s="24"/>
      <x:c r="E22" s="24"/>
      <x:c r="F22" s="24"/>
      <x:c r="G22" s="24"/>
      <x:c r="H22" s="24"/>
      <x:c r="I22" s="24"/>
      <x:c r="J22" s="24"/>
      <x:c r="K22" s="25"/>
    </x:row>
    <x:row r="23" ht="34" customHeight="1">
      <x:c r="A23" s="51" t="str">
        <x:v>Next adjustment</x:v>
      </x:c>
      <x:c r="B23" s="24" t="str">
        <x:v>Add one round, reduce reps, or move the workout cue.</x:v>
      </x:c>
      <x:c r="C23" s="24"/>
      <x:c r="D23" s="24"/>
      <x:c r="E23" s="24"/>
      <x:c r="F23" s="24"/>
      <x:c r="G23" s="24"/>
      <x:c r="H23" s="24"/>
      <x:c r="I23" s="24"/>
      <x:c r="J23" s="24"/>
      <x:c r="K23" s="25"/>
    </x:row>
    <x:row r="24" ht="34" customHeight="1">
      <x:c r="A24" s="52" t="str">
        <x:v>Win to repeat</x:v>
      </x:c>
      <x:c r="B24" s="27" t="str">
        <x:v>Write the simplest thing that made the workout happen.</x:v>
      </x:c>
      <x:c r="C24" s="27"/>
      <x:c r="D24" s="27"/>
      <x:c r="E24" s="27"/>
      <x:c r="F24" s="27"/>
      <x:c r="G24" s="27"/>
      <x:c r="H24" s="27"/>
      <x:c r="I24" s="27"/>
      <x:c r="J24" s="27"/>
      <x:c r="K24" s="28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K1"/>
    <x:mergeCell ref="A2:K2"/>
    <x:mergeCell ref="A19:K19"/>
    <x:mergeCell ref="B20:K20"/>
    <x:mergeCell ref="B21:K21"/>
    <x:mergeCell ref="B22:K22"/>
    <x:mergeCell ref="B23:K23"/>
    <x:mergeCell ref="B24:K24"/>
  </x:mergeCells>
  <x:conditionalFormatting sqref="G5:G16">
    <x:cfRule type="containsText" dxfId="0" priority="1" operator="containsText" text="Done"/>
    <x:cfRule type="containsText" dxfId="1" priority="2" operator="containsText" text="Partial"/>
    <x:cfRule type="containsText" dxfId="2" priority="3" operator="containsText" text="Skipped"/>
  </x:conditionalFormatting>
  <x:dataValidations count="4">
    <x:dataValidation type="list" sqref="G5:G16">
      <x:formula1>"Planned,Done,Partial,Skipped"</x:formula1>
    </x:dataValidation>
    <x:dataValidation type="whole" operator="between" sqref="F5:F16">
      <x:formula1>0</x:formula1>
      <x:formula2>4</x:formula2>
    </x:dataValidation>
    <x:dataValidation type="whole" operator="between" sqref="H5:H16">
      <x:formula1>1</x:formula1>
      <x:formula2>10</x:formula2>
    </x:dataValidation>
    <x:dataValidation type="whole" operator="between" sqref="I5:I16">
      <x:formula1>0</x:formula1>
      <x:formula2>120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30" hidden="0" customWidth="1"/>
    <x:col min="4" max="4" width="14" hidden="0" customWidth="1"/>
    <x:col min="5" max="5" width="62" hidden="0" customWidth="1"/>
  </x:cols>
  <x:sheetData>
    <x:row r="1" ht="36" customHeight="1">
      <x:c r="A1" s="4" t="str">
        <x:v>Poster Decoder</x:v>
      </x:c>
      <x:c r="B1" s="4" t="str">
        <x:v>Poster Decoder</x:v>
      </x:c>
      <x:c r="C1" s="4" t="str">
        <x:v>Poster Decoder</x:v>
      </x:c>
      <x:c r="D1" s="4" t="str">
        <x:v>Poster Decoder</x:v>
      </x:c>
      <x:c r="E1" s="4" t="str">
        <x:v>Poster Decoder</x:v>
      </x:c>
      <x:c r="F1" s="1"/>
      <x:c r="G1" s="1"/>
      <x:c r="H1" s="1"/>
      <x:c r="I1" s="1"/>
      <x:c r="J1" s="1"/>
      <x:c r="K1" s="1"/>
    </x:row>
    <x:row r="2" ht="30" customHeight="1">
      <x:c r="A2" s="7" t="str">
        <x:v>The attached poster appears to contain garbled AI text. This tab shows the practical exercise translation used in the plan.</x:v>
      </x:c>
      <x:c r="B2" s="7" t="str">
        <x:v>The attached poster appears to contain garbled AI text. This tab shows the practical exercise translation used in the plan.</x:v>
      </x:c>
      <x:c r="C2" s="7" t="str">
        <x:v>The attached poster appears to contain garbled AI text. This tab shows the practical exercise translation used in the plan.</x:v>
      </x:c>
      <x:c r="D2" s="7" t="str">
        <x:v>The attached poster appears to contain garbled AI text. This tab shows the practical exercise translation used in the plan.</x:v>
      </x:c>
      <x:c r="E2" s="7" t="str">
        <x:v>The attached poster appears to contain garbled AI text. This tab shows the practical exercise translation used in the plan.</x:v>
      </x:c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90" t="str">
        <x:v>Day</x:v>
      </x:c>
      <x:c r="B4" s="91" t="str">
        <x:v>Poster text</x:v>
      </x:c>
      <x:c r="C4" s="91" t="str">
        <x:v>Translated exercise</x:v>
      </x:c>
      <x:c r="D4" s="91" t="str">
        <x:v>Confidence</x:v>
      </x:c>
      <x:c r="E4" s="92" t="str">
        <x:v>Reason</x:v>
      </x:c>
      <x:c r="F4" s="1"/>
      <x:c r="G4" s="1"/>
      <x:c r="H4" s="1"/>
      <x:c r="I4" s="1"/>
      <x:c r="J4" s="1"/>
      <x:c r="K4" s="1"/>
    </x:row>
    <x:row r="5" ht="54" customHeight="1">
      <x:c r="A5" s="20" t="str">
        <x:v>Monday</x:v>
      </x:c>
      <x:c r="B5" s="21" t="str">
        <x:v>31 Modafy Baskes</x:v>
      </x:c>
      <x:c r="C5" s="21" t="str">
        <x:v>Modified Burpee</x:v>
      </x:c>
      <x:c r="D5" s="21" t="str">
        <x:v>Low</x:v>
      </x:c>
      <x:c r="E5" s="22" t="str">
        <x:v>The text is unclear, so this is matched to a common military-style bodyweight movement.</x:v>
      </x:c>
      <x:c r="F5" s="1"/>
      <x:c r="G5" s="1"/>
      <x:c r="H5" s="1"/>
      <x:c r="I5" s="1"/>
      <x:c r="J5" s="1"/>
      <x:c r="K5" s="1"/>
    </x:row>
    <x:row r="6" ht="54" customHeight="1">
      <x:c r="A6" s="23" t="str">
        <x:v>Monday</x:v>
      </x:c>
      <x:c r="B6" s="24" t="str">
        <x:v>24 Alermas Stahkosas</x:v>
      </x:c>
      <x:c r="C6" s="24" t="str">
        <x:v>Alternating Step-Up</x:v>
      </x:c>
      <x:c r="D6" s="24" t="str">
        <x:v>Low</x:v>
      </x:c>
      <x:c r="E6" s="25" t="str">
        <x:v>The text is unclear, so this is matched to a common military-style bodyweight movement.</x:v>
      </x:c>
      <x:c r="F6" s="1"/>
      <x:c r="G6" s="1"/>
      <x:c r="H6" s="1"/>
      <x:c r="I6" s="1"/>
      <x:c r="J6" s="1"/>
      <x:c r="K6" s="1"/>
    </x:row>
    <x:row r="7" ht="54" customHeight="1">
      <x:c r="A7" s="23" t="str">
        <x:v>Monday</x:v>
      </x:c>
      <x:c r="B7" s="24" t="str">
        <x:v>16 Inlute Diamantes</x:v>
      </x:c>
      <x:c r="C7" s="24" t="str">
        <x:v>Incline Diamond Push-Up</x:v>
      </x:c>
      <x:c r="D7" s="24" t="str">
        <x:v>Medium</x:v>
      </x:c>
      <x:c r="E7" s="25" t="str">
        <x:v>Looks like a garbled version of diamond push-ups.</x:v>
      </x:c>
      <x:c r="F7" s="1"/>
      <x:c r="G7" s="1"/>
      <x:c r="H7" s="1"/>
      <x:c r="I7" s="1"/>
      <x:c r="J7" s="1"/>
      <x:c r="K7" s="1"/>
    </x:row>
    <x:row r="8" ht="54" customHeight="1">
      <x:c r="A8" s="23" t="str">
        <x:v>Monday</x:v>
      </x:c>
      <x:c r="B8" s="24" t="str">
        <x:v>22 Wacre Bubms</x:v>
      </x:c>
      <x:c r="C8" s="24" t="str">
        <x:v>Wide Push-Up</x:v>
      </x:c>
      <x:c r="D8" s="24" t="str">
        <x:v>Low</x:v>
      </x:c>
      <x:c r="E8" s="25" t="str">
        <x:v>The text is unclear, so this is matched to a common military-style bodyweight movement.</x:v>
      </x:c>
      <x:c r="F8" s="1"/>
      <x:c r="G8" s="1"/>
      <x:c r="H8" s="1"/>
      <x:c r="I8" s="1"/>
      <x:c r="J8" s="1"/>
      <x:c r="K8" s="1"/>
    </x:row>
    <x:row r="9" ht="54" customHeight="1">
      <x:c r="A9" s="23" t="str">
        <x:v>Monday</x:v>
      </x:c>
      <x:c r="B9" s="24" t="str">
        <x:v>15 Rahyefos Cansst</x:v>
      </x:c>
      <x:c r="C9" s="24" t="str">
        <x:v>Reverse Crunch</x:v>
      </x:c>
      <x:c r="D9" s="24" t="str">
        <x:v>Low</x:v>
      </x:c>
      <x:c r="E9" s="25" t="str">
        <x:v>The text is unclear, so this is matched to a common military-style bodyweight movement.</x:v>
      </x:c>
      <x:c r="F9" s="1"/>
      <x:c r="G9" s="1"/>
      <x:c r="H9" s="1"/>
      <x:c r="I9" s="1"/>
      <x:c r="J9" s="1"/>
      <x:c r="K9" s="1"/>
    </x:row>
    <x:row r="10" ht="54" customHeight="1">
      <x:c r="A10" s="23" t="str">
        <x:v>Monday</x:v>
      </x:c>
      <x:c r="B10" s="24" t="str">
        <x:v>15 Serence Cames</x:v>
      </x:c>
      <x:c r="C10" s="24" t="str">
        <x:v>Scissor Kick</x:v>
      </x:c>
      <x:c r="D10" s="24" t="str">
        <x:v>Low</x:v>
      </x:c>
      <x:c r="E10" s="25" t="str">
        <x:v>The text is unclear, so this is matched to a common military-style bodyweight movement.</x:v>
      </x:c>
      <x:c r="F10" s="1"/>
      <x:c r="G10" s="1"/>
      <x:c r="H10" s="1"/>
      <x:c r="I10" s="1"/>
      <x:c r="J10" s="1"/>
      <x:c r="K10" s="1"/>
    </x:row>
    <x:row r="11" ht="54" customHeight="1">
      <x:c r="A11" s="23" t="str">
        <x:v>Monday</x:v>
      </x:c>
      <x:c r="B11" s="24" t="str">
        <x:v>19 Prenenc Cones</x:v>
      </x:c>
      <x:c r="C11" s="24" t="str">
        <x:v>Prone Cobra</x:v>
      </x:c>
      <x:c r="D11" s="24" t="str">
        <x:v>Low</x:v>
      </x:c>
      <x:c r="E11" s="25" t="str">
        <x:v>The text is unclear, so this is matched to a common military-style bodyweight movement.</x:v>
      </x:c>
      <x:c r="F11" s="1"/>
      <x:c r="G11" s="1"/>
      <x:c r="H11" s="1"/>
      <x:c r="I11" s="1"/>
      <x:c r="J11" s="1"/>
      <x:c r="K11" s="1"/>
    </x:row>
    <x:row r="12" ht="54" customHeight="1">
      <x:c r="A12" s="23" t="str">
        <x:v>Monday</x:v>
      </x:c>
      <x:c r="B12" s="24" t="str">
        <x:v>21 Ongles Glarks</x:v>
      </x:c>
      <x:c r="C12" s="24" t="str">
        <x:v>Single-Leg Glute Bridge</x:v>
      </x:c>
      <x:c r="D12" s="24" t="str">
        <x:v>Low</x:v>
      </x:c>
      <x:c r="E12" s="25" t="str">
        <x:v>The text is unclear, so this is matched to a common military-style bodyweight movement.</x:v>
      </x:c>
      <x:c r="F12" s="1"/>
      <x:c r="G12" s="1"/>
      <x:c r="H12" s="1"/>
      <x:c r="I12" s="1"/>
      <x:c r="J12" s="1"/>
      <x:c r="K12" s="1"/>
    </x:row>
    <x:row r="13" ht="54" customHeight="1">
      <x:c r="A13" s="23" t="str">
        <x:v>Tuesday</x:v>
      </x:c>
      <x:c r="B13" s="24" t="str">
        <x:v>16 Strectosps</x:v>
      </x:c>
      <x:c r="C13" s="24" t="str">
        <x:v>Step-Up</x:v>
      </x:c>
      <x:c r="D13" s="24" t="str">
        <x:v>Low</x:v>
      </x:c>
      <x:c r="E13" s="25" t="str">
        <x:v>The text is unclear, so this is matched to a common military-style bodyweight movement.</x:v>
      </x:c>
      <x:c r="F13" s="1"/>
      <x:c r="G13" s="1"/>
      <x:c r="H13" s="1"/>
      <x:c r="I13" s="1"/>
      <x:c r="J13" s="1"/>
      <x:c r="K13" s="1"/>
    </x:row>
    <x:row r="14" ht="54" customHeight="1">
      <x:c r="A14" s="23" t="str">
        <x:v>Tuesday</x:v>
      </x:c>
      <x:c r="B14" s="24" t="str">
        <x:v>22 Cremilidons Gossveis</x:v>
      </x:c>
      <x:c r="C14" s="24" t="str">
        <x:v>Cross-Body Mountain Climber</x:v>
      </x:c>
      <x:c r="D14" s="24" t="str">
        <x:v>Low</x:v>
      </x:c>
      <x:c r="E14" s="25" t="str">
        <x:v>The text is unclear, so this is matched to a common military-style bodyweight movement.</x:v>
      </x:c>
      <x:c r="F14" s="1"/>
      <x:c r="G14" s="1"/>
      <x:c r="H14" s="1"/>
      <x:c r="I14" s="1"/>
      <x:c r="J14" s="1"/>
      <x:c r="K14" s="1"/>
    </x:row>
    <x:row r="15" ht="54" customHeight="1">
      <x:c r="A15" s="23" t="str">
        <x:v>Tuesday</x:v>
      </x:c>
      <x:c r="B15" s="24" t="str">
        <x:v>20 Berls Dess</x:v>
      </x:c>
      <x:c r="C15" s="24" t="str">
        <x:v>Burpee</x:v>
      </x:c>
      <x:c r="D15" s="24" t="str">
        <x:v>Low</x:v>
      </x:c>
      <x:c r="E15" s="25" t="str">
        <x:v>The text is unclear, so this is matched to a common military-style bodyweight movement.</x:v>
      </x:c>
      <x:c r="F15" s="1"/>
      <x:c r="G15" s="1"/>
      <x:c r="H15" s="1"/>
      <x:c r="I15" s="1"/>
      <x:c r="J15" s="1"/>
      <x:c r="K15" s="1"/>
    </x:row>
    <x:row r="16" ht="54" customHeight="1">
      <x:c r="A16" s="23" t="str">
        <x:v>Tuesday</x:v>
      </x:c>
      <x:c r="B16" s="24" t="str">
        <x:v>1 Drienthis</x:v>
      </x:c>
      <x:c r="C16" s="24" t="str">
        <x:v>Forearm Plank</x:v>
      </x:c>
      <x:c r="D16" s="24" t="str">
        <x:v>Low</x:v>
      </x:c>
      <x:c r="E16" s="25" t="str">
        <x:v>The text is unclear, so this is matched to a common military-style bodyweight movement.</x:v>
      </x:c>
      <x:c r="F16" s="1"/>
      <x:c r="G16" s="1"/>
      <x:c r="H16" s="1"/>
      <x:c r="I16" s="1"/>
      <x:c r="J16" s="1"/>
      <x:c r="K16" s="1"/>
    </x:row>
    <x:row r="17" ht="54" customHeight="1">
      <x:c r="A17" s="23" t="str">
        <x:v>Tuesday</x:v>
      </x:c>
      <x:c r="B17" s="24" t="str">
        <x:v>20 Shagly Press (Base)</x:v>
      </x:c>
      <x:c r="C17" s="24" t="str">
        <x:v>Squat Press</x:v>
      </x:c>
      <x:c r="D17" s="24" t="str">
        <x:v>Low</x:v>
      </x:c>
      <x:c r="E17" s="25" t="str">
        <x:v>The text is unclear, so this is matched to a common military-style bodyweight movement.</x:v>
      </x:c>
      <x:c r="F17" s="1"/>
      <x:c r="G17" s="1"/>
      <x:c r="H17" s="1"/>
      <x:c r="I17" s="1"/>
      <x:c r="J17" s="1"/>
      <x:c r="K17" s="1"/>
    </x:row>
    <x:row r="18" ht="54" customHeight="1">
      <x:c r="A18" s="23" t="str">
        <x:v>Tuesday</x:v>
      </x:c>
      <x:c r="B18" s="24" t="str">
        <x:v>20 Disstarm Cleans</x:v>
      </x:c>
      <x:c r="C18" s="24" t="str">
        <x:v>Squat Thrust</x:v>
      </x:c>
      <x:c r="D18" s="24" t="str">
        <x:v>Low</x:v>
      </x:c>
      <x:c r="E18" s="25" t="str">
        <x:v>The text is unclear, so this is matched to a common military-style bodyweight movement.</x:v>
      </x:c>
      <x:c r="F18" s="1"/>
      <x:c r="G18" s="1"/>
      <x:c r="H18" s="1"/>
      <x:c r="I18" s="1"/>
      <x:c r="J18" s="1"/>
      <x:c r="K18" s="1"/>
    </x:row>
    <x:row r="19" ht="54" customHeight="1">
      <x:c r="A19" s="23" t="str">
        <x:v>Tuesday</x:v>
      </x:c>
      <x:c r="B19" s="24" t="str">
        <x:v>17 Scattle &amp; Squat</x:v>
      </x:c>
      <x:c r="C19" s="24" t="str">
        <x:v>Skater Squat</x:v>
      </x:c>
      <x:c r="D19" s="24" t="str">
        <x:v>Medium</x:v>
      </x:c>
      <x:c r="E19" s="25" t="str">
        <x:v>The readable word suggests a squat variation.</x:v>
      </x:c>
      <x:c r="F19" s="1"/>
      <x:c r="G19" s="1"/>
      <x:c r="H19" s="1"/>
      <x:c r="I19" s="1"/>
      <x:c r="J19" s="1"/>
      <x:c r="K19" s="1"/>
    </x:row>
    <x:row r="20" ht="54" customHeight="1">
      <x:c r="A20" s="23" t="str">
        <x:v>Tuesday</x:v>
      </x:c>
      <x:c r="B20" s="24" t="str">
        <x:v>18 Dxgees Stance Cals</x:v>
      </x:c>
      <x:c r="C20" s="24" t="str">
        <x:v>Wide-Stance Calf Raise</x:v>
      </x:c>
      <x:c r="D20" s="24" t="str">
        <x:v>Medium</x:v>
      </x:c>
      <x:c r="E20" s="25" t="str">
        <x:v>The readable word suggests a stance-based lower-leg movement.</x:v>
      </x:c>
      <x:c r="F20" s="1"/>
      <x:c r="G20" s="1"/>
      <x:c r="H20" s="1"/>
      <x:c r="I20" s="1"/>
      <x:c r="J20" s="1"/>
      <x:c r="K20" s="1"/>
    </x:row>
    <x:row r="21" ht="54" customHeight="1">
      <x:c r="A21" s="23" t="str">
        <x:v>Wednesday</x:v>
      </x:c>
      <x:c r="B21" s="24" t="str">
        <x:v>18 Eeewwe WasBes</x:v>
      </x:c>
      <x:c r="C21" s="24" t="str">
        <x:v>Elbow Walkout</x:v>
      </x:c>
      <x:c r="D21" s="24" t="str">
        <x:v>Low</x:v>
      </x:c>
      <x:c r="E21" s="25" t="str">
        <x:v>The text is unclear, so this is matched to a common military-style bodyweight movement.</x:v>
      </x:c>
      <x:c r="F21" s="1"/>
      <x:c r="G21" s="1"/>
      <x:c r="H21" s="1"/>
      <x:c r="I21" s="1"/>
      <x:c r="J21" s="1"/>
      <x:c r="K21" s="1"/>
    </x:row>
    <x:row r="22" ht="54" customHeight="1">
      <x:c r="A22" s="23" t="str">
        <x:v>Wednesday</x:v>
      </x:c>
      <x:c r="B22" s="24" t="str">
        <x:v>16 Goosshees</x:v>
      </x:c>
      <x:c r="C22" s="24" t="str">
        <x:v>Good Morning / Hip Hinge</x:v>
      </x:c>
      <x:c r="D22" s="24" t="str">
        <x:v>Low</x:v>
      </x:c>
      <x:c r="E22" s="25" t="str">
        <x:v>The text is unclear, so this is matched to a common military-style bodyweight movement.</x:v>
      </x:c>
      <x:c r="F22" s="1"/>
      <x:c r="G22" s="1"/>
      <x:c r="H22" s="1"/>
      <x:c r="I22" s="1"/>
      <x:c r="J22" s="1"/>
      <x:c r="K22" s="1"/>
    </x:row>
    <x:row r="23" ht="54" customHeight="1">
      <x:c r="A23" s="23" t="str">
        <x:v>Wednesday</x:v>
      </x:c>
      <x:c r="B23" s="24" t="str">
        <x:v>22 Abstitiers</x:v>
      </x:c>
      <x:c r="C23" s="24" t="str">
        <x:v>Sit-Up or Crunch</x:v>
      </x:c>
      <x:c r="D23" s="24" t="str">
        <x:v>Low</x:v>
      </x:c>
      <x:c r="E23" s="25" t="str">
        <x:v>The text is unclear, so this is matched to a common military-style bodyweight movement.</x:v>
      </x:c>
      <x:c r="F23" s="1"/>
      <x:c r="G23" s="1"/>
      <x:c r="H23" s="1"/>
      <x:c r="I23" s="1"/>
      <x:c r="J23" s="1"/>
      <x:c r="K23" s="1"/>
    </x:row>
    <x:row r="24" ht="54" customHeight="1">
      <x:c r="A24" s="23" t="str">
        <x:v>Wednesday</x:v>
      </x:c>
      <x:c r="B24" s="24" t="str">
        <x:v>20 Bamt Knees</x:v>
      </x:c>
      <x:c r="C24" s="24" t="str">
        <x:v>Bent-Knee Leg Raise</x:v>
      </x:c>
      <x:c r="D24" s="24" t="str">
        <x:v>Medium</x:v>
      </x:c>
      <x:c r="E24" s="25" t="str">
        <x:v>The readable word suggests a knee raise or core movement.</x:v>
      </x:c>
      <x:c r="F24" s="1"/>
      <x:c r="G24" s="1"/>
      <x:c r="H24" s="1"/>
      <x:c r="I24" s="1"/>
      <x:c r="J24" s="1"/>
      <x:c r="K24" s="1"/>
    </x:row>
    <x:row r="25" ht="54" customHeight="1">
      <x:c r="A25" s="23" t="str">
        <x:v>Wednesday</x:v>
      </x:c>
      <x:c r="B25" s="24" t="str">
        <x:v>18 Inverses Rows</x:v>
      </x:c>
      <x:c r="C25" s="24" t="str">
        <x:v>Inverted Row</x:v>
      </x:c>
      <x:c r="D25" s="24" t="str">
        <x:v>High</x:v>
      </x:c>
      <x:c r="E25" s="25" t="str">
        <x:v>This one is readable as inverted rows.</x:v>
      </x:c>
      <x:c r="F25" s="1"/>
      <x:c r="G25" s="1"/>
      <x:c r="H25" s="1"/>
      <x:c r="I25" s="1"/>
      <x:c r="J25" s="1"/>
      <x:c r="K25" s="1"/>
    </x:row>
    <x:row r="26" ht="54" customHeight="1">
      <x:c r="A26" s="23" t="str">
        <x:v>Wednesday</x:v>
      </x:c>
      <x:c r="B26" s="24" t="str">
        <x:v>18 Senes Looges</x:v>
      </x:c>
      <x:c r="C26" s="24" t="str">
        <x:v>Side Lunge</x:v>
      </x:c>
      <x:c r="D26" s="24" t="str">
        <x:v>Low</x:v>
      </x:c>
      <x:c r="E26" s="25" t="str">
        <x:v>The text is unclear, so this is matched to a common military-style bodyweight movement.</x:v>
      </x:c>
      <x:c r="F26" s="1"/>
      <x:c r="G26" s="1"/>
      <x:c r="H26" s="1"/>
      <x:c r="I26" s="1"/>
      <x:c r="J26" s="1"/>
      <x:c r="K26" s="1"/>
    </x:row>
    <x:row r="27" ht="54" customHeight="1">
      <x:c r="A27" s="23" t="str">
        <x:v>Wednesday</x:v>
      </x:c>
      <x:c r="B27" s="24" t="str">
        <x:v>17 Ognewiats</x:v>
      </x:c>
      <x:c r="C27" s="24" t="str">
        <x:v>Walking Lunge</x:v>
      </x:c>
      <x:c r="D27" s="24" t="str">
        <x:v>Low</x:v>
      </x:c>
      <x:c r="E27" s="25" t="str">
        <x:v>The text is unclear, so this is matched to a common military-style bodyweight movement.</x:v>
      </x:c>
      <x:c r="F27" s="1"/>
      <x:c r="G27" s="1"/>
      <x:c r="H27" s="1"/>
      <x:c r="I27" s="1"/>
      <x:c r="J27" s="1"/>
      <x:c r="K27" s="1"/>
    </x:row>
    <x:row r="28" ht="54" customHeight="1">
      <x:c r="A28" s="26" t="str">
        <x:v>Wednesday</x:v>
      </x:c>
      <x:c r="B28" s="27" t="str">
        <x:v>18 Strabler Cames</x:v>
      </x:c>
      <x:c r="C28" s="27" t="str">
        <x:v>Plank Shoulder Tap</x:v>
      </x:c>
      <x:c r="D28" s="27" t="str">
        <x:v>Low</x:v>
      </x:c>
      <x:c r="E28" s="28" t="str">
        <x:v>The text is unclear, so this is matched to a common military-style bodyweight movement.</x:v>
      </x:c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E1"/>
    <x:mergeCell ref="A2:E2"/>
  </x:mergeCells>
  <x:conditionalFormatting sqref="D5:D28">
    <x:cfRule type="containsText" dxfId="3" priority="1" operator="containsText" text="High"/>
    <x:cfRule type="containsText" dxfId="4" priority="2" operator="containsText" text="Medium"/>
    <x:cfRule type="containsText" dxfId="5" priority="3" operator="containsText" text="Low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34" hidden="0" customWidth="1"/>
    <x:col min="4" max="4" width="18" hidden="0" customWidth="1"/>
    <x:col min="5" max="5" width="4" hidden="0" customWidth="1"/>
    <x:col min="6" max="6" width="26" hidden="0" customWidth="1"/>
    <x:col min="7" max="7" width="42" hidden="0" customWidth="1"/>
    <x:col min="8" max="8" width="18" hidden="0" customWidth="1"/>
  </x:cols>
  <x:sheetData>
    <x:row r="1" ht="36" customHeight="1">
      <x:c r="A1" s="4" t="str">
        <x:v>Source Notes</x:v>
      </x:c>
      <x:c r="B1" s="4" t="str">
        <x:v>Source Notes</x:v>
      </x:c>
      <x:c r="C1" s="4" t="str">
        <x:v>Source Notes</x:v>
      </x:c>
      <x:c r="D1" s="4" t="str">
        <x:v>Source Notes</x:v>
      </x:c>
      <x:c r="E1" s="4" t="str">
        <x:v>Source Notes</x:v>
      </x:c>
      <x:c r="F1" s="4" t="str">
        <x:v>Source Notes</x:v>
      </x:c>
      <x:c r="G1" s="4" t="str">
        <x:v>Source Notes</x:v>
      </x:c>
      <x:c r="H1" s="4" t="str">
        <x:v>Source Notes</x:v>
      </x:c>
      <x:c r="I1" s="1"/>
      <x:c r="J1" s="1"/>
      <x:c r="K1" s="1"/>
    </x:row>
    <x:row r="2" ht="30" customHeight="1">
      <x:c r="A2" s="7" t="str">
        <x:v>A text version of the attached poster, plus notes on how the military-style plan was interpreted.</x:v>
      </x:c>
      <x:c r="B2" s="7" t="str">
        <x:v>A text version of the attached poster, plus notes on how the military-style plan was interpreted.</x:v>
      </x:c>
      <x:c r="C2" s="7" t="str">
        <x:v>A text version of the attached poster, plus notes on how the military-style plan was interpreted.</x:v>
      </x:c>
      <x:c r="D2" s="7" t="str">
        <x:v>A text version of the attached poster, plus notes on how the military-style plan was interpreted.</x:v>
      </x:c>
      <x:c r="E2" s="7" t="str">
        <x:v>A text version of the attached poster, plus notes on how the military-style plan was interpreted.</x:v>
      </x:c>
      <x:c r="F2" s="7" t="str">
        <x:v>A text version of the attached poster, plus notes on how the military-style plan was interpreted.</x:v>
      </x:c>
      <x:c r="G2" s="7" t="str">
        <x:v>A text version of the attached poster, plus notes on how the military-style plan was interpreted.</x:v>
      </x:c>
      <x:c r="H2" s="7" t="str">
        <x:v>A text version of the attached poster, plus notes on how the military-style plan was interpreted.</x:v>
      </x:c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0" t="str">
        <x:v>Visible Poster Text</x:v>
      </x:c>
      <x:c r="B4" s="10" t="str">
        <x:v>Visible Poster Text</x:v>
      </x:c>
      <x:c r="C4" s="10" t="str">
        <x:v>Visible Poster Text</x:v>
      </x:c>
      <x:c r="D4" s="10" t="str">
        <x:v>Visible Poster Text</x:v>
      </x:c>
      <x:c r="E4" s="1"/>
      <x:c r="F4" s="38" t="str">
        <x:v>Translation Note</x:v>
      </x:c>
      <x:c r="G4" s="38" t="str">
        <x:v>Translation Note</x:v>
      </x:c>
      <x:c r="H4" s="38" t="str">
        <x:v>Translation Note</x:v>
      </x:c>
      <x:c r="I4" s="1"/>
      <x:c r="J4" s="1"/>
      <x:c r="K4" s="1"/>
    </x:row>
    <x:row r="5" ht="44" customHeight="1">
      <x:c r="A5" s="60" t="str">
        <x:v>Day</x:v>
      </x:c>
      <x:c r="B5" s="61" t="str">
        <x:v>Line</x:v>
      </x:c>
      <x:c r="C5" s="61" t="str">
        <x:v>Poster text</x:v>
      </x:c>
      <x:c r="D5" s="62" t="str">
        <x:v>Translated exercise</x:v>
      </x:c>
      <x:c r="E5" s="1"/>
      <x:c r="F5" s="20" t="str">
        <x:v>The exercise names in the poster are not consistently readable as real exercise names.</x:v>
      </x:c>
      <x:c r="G5" s="21"/>
      <x:c r="H5" s="22"/>
      <x:c r="I5" s="1"/>
      <x:c r="J5" s="1"/>
      <x:c r="K5" s="1"/>
    </x:row>
    <x:row r="6" ht="44" customHeight="1">
      <x:c r="A6" s="63" t="str">
        <x:v>Monday</x:v>
      </x:c>
      <x:c r="B6" s="21" t="n">
        <x:v>1</x:v>
      </x:c>
      <x:c r="C6" s="21" t="str">
        <x:v>31 Modafy Baskes</x:v>
      </x:c>
      <x:c r="D6" s="22" t="str">
        <x:v>Modified Burpee</x:v>
      </x:c>
      <x:c r="E6" s="1"/>
      <x:c r="F6" s="23" t="str">
        <x:v>This workbook keeps the visible rep counts and the military/calisthenics style, then translates each line into a real movement.</x:v>
      </x:c>
      <x:c r="G6" s="24"/>
      <x:c r="H6" s="25"/>
      <x:c r="I6" s="1"/>
      <x:c r="J6" s="1"/>
      <x:c r="K6" s="1"/>
    </x:row>
    <x:row r="7" ht="44" customHeight="1">
      <x:c r="A7" s="64" t="str">
        <x:v>Monday</x:v>
      </x:c>
      <x:c r="B7" s="24" t="n">
        <x:v>2</x:v>
      </x:c>
      <x:c r="C7" s="24" t="str">
        <x:v>24 Alermas Stahkosas</x:v>
      </x:c>
      <x:c r="D7" s="25" t="str">
        <x:v>Alternating Step-Up</x:v>
      </x:c>
      <x:c r="E7" s="1"/>
      <x:c r="F7" s="23" t="str">
        <x:v>Use the Exercise Guide tab for form cues and easier options.</x:v>
      </x:c>
      <x:c r="G7" s="24"/>
      <x:c r="H7" s="25"/>
      <x:c r="I7" s="1"/>
      <x:c r="J7" s="1"/>
      <x:c r="K7" s="1"/>
    </x:row>
    <x:row r="8" ht="44" customHeight="1">
      <x:c r="A8" s="64" t="str">
        <x:v>Monday</x:v>
      </x:c>
      <x:c r="B8" s="24" t="n">
        <x:v>3</x:v>
      </x:c>
      <x:c r="C8" s="24" t="str">
        <x:v>16 Inlute Diamantes</x:v>
      </x:c>
      <x:c r="D8" s="25" t="str">
        <x:v>Incline Diamond Push-Up</x:v>
      </x:c>
      <x:c r="E8" s="1"/>
      <x:c r="F8" s="23" t="str">
        <x:v>If any movement causes pain, swap to the easier option or skip it.</x:v>
      </x:c>
      <x:c r="G8" s="24"/>
      <x:c r="H8" s="25"/>
      <x:c r="I8" s="1"/>
      <x:c r="J8" s="1"/>
      <x:c r="K8" s="1"/>
    </x:row>
    <x:row r="9" ht="44" customHeight="1">
      <x:c r="A9" s="64" t="str">
        <x:v>Monday</x:v>
      </x:c>
      <x:c r="B9" s="24" t="n">
        <x:v>4</x:v>
      </x:c>
      <x:c r="C9" s="24" t="str">
        <x:v>22 Wacre Bubms</x:v>
      </x:c>
      <x:c r="D9" s="25" t="str">
        <x:v>Wide Push-Up</x:v>
      </x:c>
      <x:c r="E9" s="1"/>
      <x:c r="F9" s="23" t="str">
        <x:v>A partial session should still be recorded as Partial in the tracker.</x:v>
      </x:c>
      <x:c r="G9" s="24"/>
      <x:c r="H9" s="25"/>
      <x:c r="I9" s="1"/>
      <x:c r="J9" s="1"/>
      <x:c r="K9" s="1"/>
    </x:row>
    <x:row r="10" ht="44" customHeight="1">
      <x:c r="A10" s="64" t="str">
        <x:v>Monday</x:v>
      </x:c>
      <x:c r="B10" s="24" t="n">
        <x:v>5</x:v>
      </x:c>
      <x:c r="C10" s="24" t="str">
        <x:v>15 Rahyefos Cansst</x:v>
      </x:c>
      <x:c r="D10" s="25" t="str">
        <x:v>Reverse Crunch</x:v>
      </x:c>
      <x:c r="E10" s="1"/>
      <x:c r="F10" s="23" t="str">
        <x:v>Suggested first goal: 3 sessions per week for 4 weeks.</x:v>
      </x:c>
      <x:c r="G10" s="24"/>
      <x:c r="H10" s="25"/>
      <x:c r="I10" s="1"/>
      <x:c r="J10" s="1"/>
      <x:c r="K10" s="1"/>
    </x:row>
    <x:row r="11" ht="44" customHeight="1">
      <x:c r="A11" s="64" t="str">
        <x:v>Monday</x:v>
      </x:c>
      <x:c r="B11" s="24" t="n">
        <x:v>6</x:v>
      </x:c>
      <x:c r="C11" s="24" t="str">
        <x:v>15 Serence Cames</x:v>
      </x:c>
      <x:c r="D11" s="25" t="str">
        <x:v>Scissor Kick</x:v>
      </x:c>
      <x:c r="E11" s="1"/>
      <x:c r="F11" s="26" t="str">
        <x:v>After 4 weeks: keep the same plan, add a second round, or rotate in harder variations.</x:v>
      </x:c>
      <x:c r="G11" s="27"/>
      <x:c r="H11" s="28"/>
      <x:c r="I11" s="1"/>
      <x:c r="J11" s="1"/>
      <x:c r="K11" s="1"/>
    </x:row>
    <x:row r="12" ht="24" customHeight="1">
      <x:c r="A12" s="64" t="str">
        <x:v>Monday</x:v>
      </x:c>
      <x:c r="B12" s="24" t="n">
        <x:v>7</x:v>
      </x:c>
      <x:c r="C12" s="24" t="str">
        <x:v>19 Prenenc Cones</x:v>
      </x:c>
      <x:c r="D12" s="25" t="str">
        <x:v>Prone Cobra</x:v>
      </x:c>
      <x:c r="E12" s="1"/>
      <x:c r="F12" s="1"/>
      <x:c r="G12" s="1"/>
      <x:c r="H12" s="1"/>
      <x:c r="I12" s="1"/>
      <x:c r="J12" s="1"/>
      <x:c r="K12" s="1"/>
    </x:row>
    <x:row r="13" ht="24" customHeight="1">
      <x:c r="A13" s="64" t="str">
        <x:v>Monday</x:v>
      </x:c>
      <x:c r="B13" s="24" t="n">
        <x:v>8</x:v>
      </x:c>
      <x:c r="C13" s="24" t="str">
        <x:v>21 Ongles Glarks</x:v>
      </x:c>
      <x:c r="D13" s="25" t="str">
        <x:v>Single-Leg Glute Bridge</x:v>
      </x:c>
      <x:c r="E13" s="1"/>
      <x:c r="F13" s="1"/>
      <x:c r="G13" s="1"/>
      <x:c r="H13" s="1"/>
      <x:c r="I13" s="1"/>
      <x:c r="J13" s="1"/>
      <x:c r="K13" s="1"/>
    </x:row>
    <x:row r="14" ht="24" customHeight="1">
      <x:c r="A14" s="23"/>
      <x:c r="B14" s="24"/>
      <x:c r="C14" s="24"/>
      <x:c r="D14" s="25"/>
      <x:c r="E14" s="1"/>
      <x:c r="F14" s="1"/>
      <x:c r="G14" s="1"/>
      <x:c r="H14" s="1"/>
      <x:c r="I14" s="1"/>
      <x:c r="J14" s="1"/>
      <x:c r="K14" s="1"/>
    </x:row>
    <x:row r="15" ht="24" customHeight="1">
      <x:c r="A15" s="65" t="str">
        <x:v>Tuesday</x:v>
      </x:c>
      <x:c r="B15" s="24" t="n">
        <x:v>1</x:v>
      </x:c>
      <x:c r="C15" s="24" t="str">
        <x:v>16 Strectosps</x:v>
      </x:c>
      <x:c r="D15" s="25" t="str">
        <x:v>Step-Up</x:v>
      </x:c>
      <x:c r="E15" s="1"/>
      <x:c r="F15" s="1"/>
      <x:c r="G15" s="1"/>
      <x:c r="H15" s="1"/>
      <x:c r="I15" s="1"/>
      <x:c r="J15" s="1"/>
      <x:c r="K15" s="1"/>
    </x:row>
    <x:row r="16" ht="24" customHeight="1">
      <x:c r="A16" s="65" t="str">
        <x:v>Tuesday</x:v>
      </x:c>
      <x:c r="B16" s="24" t="n">
        <x:v>2</x:v>
      </x:c>
      <x:c r="C16" s="24" t="str">
        <x:v>22 Cremilidons Gossveis</x:v>
      </x:c>
      <x:c r="D16" s="25" t="str">
        <x:v>Cross-Body Mountain Climber</x:v>
      </x:c>
      <x:c r="E16" s="1"/>
      <x:c r="F16" s="1"/>
      <x:c r="G16" s="1"/>
      <x:c r="H16" s="1"/>
      <x:c r="I16" s="1"/>
      <x:c r="J16" s="1"/>
      <x:c r="K16" s="1"/>
    </x:row>
    <x:row r="17" ht="24" customHeight="1">
      <x:c r="A17" s="65" t="str">
        <x:v>Tuesday</x:v>
      </x:c>
      <x:c r="B17" s="24" t="n">
        <x:v>3</x:v>
      </x:c>
      <x:c r="C17" s="24" t="str">
        <x:v>20 Berls Dess</x:v>
      </x:c>
      <x:c r="D17" s="25" t="str">
        <x:v>Burpee</x:v>
      </x:c>
      <x:c r="E17" s="1"/>
      <x:c r="F17" s="1"/>
      <x:c r="G17" s="1"/>
      <x:c r="H17" s="1"/>
      <x:c r="I17" s="1"/>
      <x:c r="J17" s="1"/>
      <x:c r="K17" s="1"/>
    </x:row>
    <x:row r="18" ht="24" customHeight="1">
      <x:c r="A18" s="65" t="str">
        <x:v>Tuesday</x:v>
      </x:c>
      <x:c r="B18" s="24" t="n">
        <x:v>4</x:v>
      </x:c>
      <x:c r="C18" s="24" t="str">
        <x:v>1 Drienthis</x:v>
      </x:c>
      <x:c r="D18" s="25" t="str">
        <x:v>Forearm Plank</x:v>
      </x:c>
      <x:c r="E18" s="1"/>
      <x:c r="F18" s="1"/>
      <x:c r="G18" s="1"/>
      <x:c r="H18" s="1"/>
      <x:c r="I18" s="1"/>
      <x:c r="J18" s="1"/>
      <x:c r="K18" s="1"/>
    </x:row>
    <x:row r="19" ht="24" customHeight="1">
      <x:c r="A19" s="65" t="str">
        <x:v>Tuesday</x:v>
      </x:c>
      <x:c r="B19" s="24" t="n">
        <x:v>5</x:v>
      </x:c>
      <x:c r="C19" s="24" t="str">
        <x:v>20 Shagly Press (Base)</x:v>
      </x:c>
      <x:c r="D19" s="25" t="str">
        <x:v>Squat Press</x:v>
      </x:c>
      <x:c r="E19" s="1"/>
      <x:c r="F19" s="1"/>
      <x:c r="G19" s="1"/>
      <x:c r="H19" s="1"/>
      <x:c r="I19" s="1"/>
      <x:c r="J19" s="1"/>
      <x:c r="K19" s="1"/>
    </x:row>
    <x:row r="20" ht="24" customHeight="1">
      <x:c r="A20" s="65" t="str">
        <x:v>Tuesday</x:v>
      </x:c>
      <x:c r="B20" s="24" t="n">
        <x:v>6</x:v>
      </x:c>
      <x:c r="C20" s="24" t="str">
        <x:v>20 Disstarm Cleans</x:v>
      </x:c>
      <x:c r="D20" s="25" t="str">
        <x:v>Squat Thrust</x:v>
      </x:c>
      <x:c r="E20" s="1"/>
      <x:c r="F20" s="1"/>
      <x:c r="G20" s="1"/>
      <x:c r="H20" s="1"/>
      <x:c r="I20" s="1"/>
      <x:c r="J20" s="1"/>
      <x:c r="K20" s="1"/>
    </x:row>
    <x:row r="21" ht="24" customHeight="1">
      <x:c r="A21" s="65" t="str">
        <x:v>Tuesday</x:v>
      </x:c>
      <x:c r="B21" s="24" t="n">
        <x:v>7</x:v>
      </x:c>
      <x:c r="C21" s="24" t="str">
        <x:v>17 Scattle &amp; Squat</x:v>
      </x:c>
      <x:c r="D21" s="25" t="str">
        <x:v>Skater Squat</x:v>
      </x:c>
      <x:c r="E21" s="1"/>
      <x:c r="F21" s="1"/>
      <x:c r="G21" s="1"/>
      <x:c r="H21" s="1"/>
      <x:c r="I21" s="1"/>
      <x:c r="J21" s="1"/>
      <x:c r="K21" s="1"/>
    </x:row>
    <x:row r="22" ht="24" customHeight="1">
      <x:c r="A22" s="65" t="str">
        <x:v>Tuesday</x:v>
      </x:c>
      <x:c r="B22" s="24" t="n">
        <x:v>8</x:v>
      </x:c>
      <x:c r="C22" s="24" t="str">
        <x:v>18 Dxgees Stance Cals</x:v>
      </x:c>
      <x:c r="D22" s="25" t="str">
        <x:v>Wide-Stance Calf Raise</x:v>
      </x:c>
      <x:c r="E22" s="1"/>
      <x:c r="F22" s="1"/>
      <x:c r="G22" s="1"/>
      <x:c r="H22" s="1"/>
      <x:c r="I22" s="1"/>
      <x:c r="J22" s="1"/>
      <x:c r="K22" s="1"/>
    </x:row>
    <x:row r="23" ht="24" customHeight="1">
      <x:c r="A23" s="23"/>
      <x:c r="B23" s="24"/>
      <x:c r="C23" s="24"/>
      <x:c r="D23" s="25"/>
      <x:c r="E23" s="1"/>
      <x:c r="F23" s="1"/>
      <x:c r="G23" s="1"/>
      <x:c r="H23" s="1"/>
      <x:c r="I23" s="1"/>
      <x:c r="J23" s="1"/>
      <x:c r="K23" s="1"/>
    </x:row>
    <x:row r="24" ht="24" customHeight="1">
      <x:c r="A24" s="66" t="str">
        <x:v>Wednesday</x:v>
      </x:c>
      <x:c r="B24" s="24" t="n">
        <x:v>1</x:v>
      </x:c>
      <x:c r="C24" s="24" t="str">
        <x:v>18 Eeewwe WasBes</x:v>
      </x:c>
      <x:c r="D24" s="25" t="str">
        <x:v>Elbow Walkout</x:v>
      </x:c>
      <x:c r="E24" s="1"/>
      <x:c r="F24" s="1"/>
      <x:c r="G24" s="1"/>
      <x:c r="H24" s="1"/>
      <x:c r="I24" s="1"/>
      <x:c r="J24" s="1"/>
      <x:c r="K24" s="1"/>
    </x:row>
    <x:row r="25" ht="24" customHeight="1">
      <x:c r="A25" s="66" t="str">
        <x:v>Wednesday</x:v>
      </x:c>
      <x:c r="B25" s="24" t="n">
        <x:v>2</x:v>
      </x:c>
      <x:c r="C25" s="24" t="str">
        <x:v>16 Goosshees</x:v>
      </x:c>
      <x:c r="D25" s="25" t="str">
        <x:v>Good Morning / Hip Hinge</x:v>
      </x:c>
      <x:c r="E25" s="1"/>
      <x:c r="F25" s="1"/>
      <x:c r="G25" s="1"/>
      <x:c r="H25" s="1"/>
      <x:c r="I25" s="1"/>
      <x:c r="J25" s="1"/>
      <x:c r="K25" s="1"/>
    </x:row>
    <x:row r="26" ht="24" customHeight="1">
      <x:c r="A26" s="66" t="str">
        <x:v>Wednesday</x:v>
      </x:c>
      <x:c r="B26" s="24" t="n">
        <x:v>3</x:v>
      </x:c>
      <x:c r="C26" s="24" t="str">
        <x:v>22 Abstitiers</x:v>
      </x:c>
      <x:c r="D26" s="25" t="str">
        <x:v>Sit-Up or Crunch</x:v>
      </x:c>
      <x:c r="E26" s="1"/>
      <x:c r="F26" s="1"/>
      <x:c r="G26" s="1"/>
      <x:c r="H26" s="1"/>
      <x:c r="I26" s="1"/>
      <x:c r="J26" s="1"/>
      <x:c r="K26" s="1"/>
    </x:row>
    <x:row r="27" ht="24" customHeight="1">
      <x:c r="A27" s="66" t="str">
        <x:v>Wednesday</x:v>
      </x:c>
      <x:c r="B27" s="24" t="n">
        <x:v>4</x:v>
      </x:c>
      <x:c r="C27" s="24" t="str">
        <x:v>20 Bamt Knees</x:v>
      </x:c>
      <x:c r="D27" s="25" t="str">
        <x:v>Bent-Knee Leg Raise</x:v>
      </x:c>
      <x:c r="E27" s="1"/>
      <x:c r="F27" s="1"/>
      <x:c r="G27" s="1"/>
      <x:c r="H27" s="1"/>
      <x:c r="I27" s="1"/>
      <x:c r="J27" s="1"/>
      <x:c r="K27" s="1"/>
    </x:row>
    <x:row r="28" ht="24" customHeight="1">
      <x:c r="A28" s="66" t="str">
        <x:v>Wednesday</x:v>
      </x:c>
      <x:c r="B28" s="24" t="n">
        <x:v>5</x:v>
      </x:c>
      <x:c r="C28" s="24" t="str">
        <x:v>18 Inverses Rows</x:v>
      </x:c>
      <x:c r="D28" s="25" t="str">
        <x:v>Inverted Row</x:v>
      </x:c>
      <x:c r="E28" s="1"/>
      <x:c r="F28" s="1"/>
      <x:c r="G28" s="1"/>
      <x:c r="H28" s="1"/>
      <x:c r="I28" s="1"/>
      <x:c r="J28" s="1"/>
      <x:c r="K28" s="1"/>
    </x:row>
    <x:row r="29" ht="24" customHeight="1">
      <x:c r="A29" s="66" t="str">
        <x:v>Wednesday</x:v>
      </x:c>
      <x:c r="B29" s="24" t="n">
        <x:v>6</x:v>
      </x:c>
      <x:c r="C29" s="24" t="str">
        <x:v>18 Senes Looges</x:v>
      </x:c>
      <x:c r="D29" s="25" t="str">
        <x:v>Side Lunge</x:v>
      </x:c>
      <x:c r="E29" s="1"/>
      <x:c r="F29" s="1"/>
      <x:c r="G29" s="1"/>
      <x:c r="H29" s="1"/>
      <x:c r="I29" s="1"/>
      <x:c r="J29" s="1"/>
      <x:c r="K29" s="1"/>
    </x:row>
    <x:row r="30" ht="24" customHeight="1">
      <x:c r="A30" s="66" t="str">
        <x:v>Wednesday</x:v>
      </x:c>
      <x:c r="B30" s="24" t="n">
        <x:v>7</x:v>
      </x:c>
      <x:c r="C30" s="24" t="str">
        <x:v>17 Ognewiats</x:v>
      </x:c>
      <x:c r="D30" s="25" t="str">
        <x:v>Walking Lunge</x:v>
      </x:c>
      <x:c r="E30" s="1"/>
      <x:c r="F30" s="1"/>
      <x:c r="G30" s="1"/>
      <x:c r="H30" s="1"/>
      <x:c r="I30" s="1"/>
      <x:c r="J30" s="1"/>
      <x:c r="K30" s="1"/>
    </x:row>
    <x:row r="31" ht="24" customHeight="1">
      <x:c r="A31" s="67" t="str">
        <x:v>Wednesday</x:v>
      </x:c>
      <x:c r="B31" s="27" t="n">
        <x:v>8</x:v>
      </x:c>
      <x:c r="C31" s="27" t="str">
        <x:v>18 Strabler Cames</x:v>
      </x:c>
      <x:c r="D31" s="28" t="str">
        <x:v>Plank Shoulder Tap</x:v>
      </x:c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H1"/>
    <x:mergeCell ref="A2:H2"/>
    <x:mergeCell ref="A4:D4"/>
    <x:mergeCell ref="F4:H4"/>
    <x:mergeCell ref="F5:H5"/>
    <x:mergeCell ref="F6:H6"/>
    <x:mergeCell ref="F7:H7"/>
    <x:mergeCell ref="F8:H8"/>
    <x:mergeCell ref="F9:H9"/>
    <x:mergeCell ref="F10:H10"/>
    <x:mergeCell ref="F11:H11"/>
  </x:mergeCells>
  <x:pageMargins left="0.7" right="0.7" top="0.75" bottom="0.75" header="0.3" footer="0.3"/>
</x:worksheet>
</file>